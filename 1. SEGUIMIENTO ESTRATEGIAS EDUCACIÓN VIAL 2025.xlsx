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unicipioenvigado-my.sharepoint.com/personal/jeison_montoya_envigado_gov_co/Documents/DSV/2025/03. FORMACION Y CULTURA CIUDADANA/1. PLANEACIÓN Y SEGUIMIENTO/"/>
    </mc:Choice>
  </mc:AlternateContent>
  <xr:revisionPtr revIDLastSave="0" documentId="8_{C6C51154-610B-472B-8E32-53CA19E7BBAC}" xr6:coauthVersionLast="47" xr6:coauthVersionMax="47" xr10:uidLastSave="{00000000-0000-0000-0000-000000000000}"/>
  <bookViews>
    <workbookView xWindow="-108" yWindow="-108" windowWidth="23256" windowHeight="12456" tabRatio="528" xr2:uid="{00000000-000D-0000-FFFF-FFFF00000000}"/>
  </bookViews>
  <sheets>
    <sheet name="SEGUIMIENTO" sheetId="14" r:id="rId1"/>
    <sheet name="FORMACION CIUDADANA I TR" sheetId="15" state="hidden" r:id="rId2"/>
    <sheet name="DATOS" sheetId="18" state="hidden" r:id="rId3"/>
    <sheet name="LISTAS" sheetId="16" r:id="rId4"/>
    <sheet name="ZONAS" sheetId="17" state="hidden" r:id="rId5"/>
  </sheets>
  <definedNames>
    <definedName name="_xlnm._FilterDatabase" localSheetId="3" hidden="1">LISTAS!$L$1:$M$81</definedName>
    <definedName name="_xlnm._FilterDatabase" localSheetId="0" hidden="1">SEGUIMIENTO!$A$1:$W$307</definedName>
    <definedName name="_xlnm._FilterDatabase" localSheetId="4" hidden="1">ZONAS!$A$1:$A$10</definedName>
    <definedName name="Acciones_Educación_vial" localSheetId="2">#REF!</definedName>
    <definedName name="Acciones_Educación_vial" localSheetId="1">#REF!</definedName>
    <definedName name="Acciones_Educación_vial" localSheetId="3">#REF!</definedName>
    <definedName name="Acciones_Educación_vial" localSheetId="0">#REF!</definedName>
    <definedName name="Acciones_Educación_vial">#REF!</definedName>
    <definedName name="EDUVIAL_2024" localSheetId="2">#REF!</definedName>
    <definedName name="EDUVIAL_2024" localSheetId="1">#REF!</definedName>
    <definedName name="EDUVIAL_2024" localSheetId="3">#REF!</definedName>
    <definedName name="EDUVIAL_2024">EDUVIAL_2023[#All]</definedName>
    <definedName name="IITRIM" localSheetId="0">SEGUIMIENTO!$A$1:$V$307</definedName>
    <definedName name="IITRIM">#REF!</definedName>
  </definedNames>
  <calcPr calcId="191028"/>
  <pivotCaches>
    <pivotCache cacheId="35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07" i="14" l="1"/>
  <c r="L307" i="14"/>
  <c r="T307" i="14" s="1"/>
  <c r="W306" i="14"/>
  <c r="V306" i="14"/>
  <c r="U306" i="14"/>
  <c r="S306" i="14"/>
  <c r="L306" i="14"/>
  <c r="T306" i="14" s="1"/>
  <c r="S305" i="14"/>
  <c r="L305" i="14"/>
  <c r="T305" i="14" s="1"/>
  <c r="S304" i="14"/>
  <c r="L304" i="14"/>
  <c r="T304" i="14" s="1"/>
  <c r="W303" i="14"/>
  <c r="V303" i="14"/>
  <c r="U303" i="14"/>
  <c r="S303" i="14"/>
  <c r="L303" i="14"/>
  <c r="S302" i="14"/>
  <c r="L302" i="14"/>
  <c r="T302" i="14" s="1"/>
  <c r="S301" i="14"/>
  <c r="L301" i="14"/>
  <c r="T301" i="14" s="1"/>
  <c r="S300" i="14"/>
  <c r="L300" i="14"/>
  <c r="T300" i="14" s="1"/>
  <c r="S299" i="14"/>
  <c r="L299" i="14"/>
  <c r="T299" i="14" s="1"/>
  <c r="V298" i="14"/>
  <c r="U298" i="14"/>
  <c r="S298" i="14"/>
  <c r="L298" i="14"/>
  <c r="T298" i="14" s="1"/>
  <c r="W297" i="14"/>
  <c r="V297" i="14"/>
  <c r="U297" i="14"/>
  <c r="S297" i="14"/>
  <c r="L297" i="14"/>
  <c r="S296" i="14"/>
  <c r="L296" i="14"/>
  <c r="T296" i="14" s="1"/>
  <c r="W295" i="14"/>
  <c r="V295" i="14"/>
  <c r="U295" i="14"/>
  <c r="S295" i="14"/>
  <c r="L295" i="14"/>
  <c r="T295" i="14" s="1"/>
  <c r="S294" i="14"/>
  <c r="L294" i="14"/>
  <c r="S293" i="14"/>
  <c r="L293" i="14"/>
  <c r="W292" i="14"/>
  <c r="V292" i="14"/>
  <c r="U292" i="14"/>
  <c r="S292" i="14"/>
  <c r="L292" i="14"/>
  <c r="T292" i="14" s="1"/>
  <c r="S291" i="14"/>
  <c r="L291" i="14"/>
  <c r="T291" i="14" s="1"/>
  <c r="W290" i="14"/>
  <c r="V290" i="14"/>
  <c r="U290" i="14"/>
  <c r="S290" i="14"/>
  <c r="L290" i="14"/>
  <c r="T290" i="14" s="1"/>
  <c r="W289" i="14"/>
  <c r="V289" i="14"/>
  <c r="U289" i="14"/>
  <c r="S289" i="14"/>
  <c r="L289" i="14"/>
  <c r="T289" i="14" s="1"/>
  <c r="W288" i="14"/>
  <c r="V288" i="14"/>
  <c r="U288" i="14"/>
  <c r="S288" i="14"/>
  <c r="L288" i="14"/>
  <c r="T288" i="14" s="1"/>
  <c r="S287" i="14"/>
  <c r="L287" i="14"/>
  <c r="T287" i="14" s="1"/>
  <c r="W286" i="14"/>
  <c r="V286" i="14"/>
  <c r="U286" i="14"/>
  <c r="S286" i="14"/>
  <c r="L286" i="14"/>
  <c r="T286" i="14" s="1"/>
  <c r="S285" i="14"/>
  <c r="L285" i="14"/>
  <c r="T285" i="14" s="1"/>
  <c r="W284" i="14"/>
  <c r="V284" i="14"/>
  <c r="U284" i="14"/>
  <c r="S284" i="14"/>
  <c r="L284" i="14"/>
  <c r="T284" i="14" s="1"/>
  <c r="S269" i="14"/>
  <c r="L269" i="14"/>
  <c r="T269" i="14" s="1"/>
  <c r="S267" i="14"/>
  <c r="L267" i="14"/>
  <c r="T267" i="14" s="1"/>
  <c r="W283" i="14"/>
  <c r="V283" i="14"/>
  <c r="U283" i="14"/>
  <c r="S282" i="14"/>
  <c r="S283" i="14"/>
  <c r="L283" i="14"/>
  <c r="T283" i="14" s="1"/>
  <c r="L282" i="14"/>
  <c r="S281" i="14"/>
  <c r="L281" i="14"/>
  <c r="T281" i="14" s="1"/>
  <c r="S280" i="14"/>
  <c r="L280" i="14"/>
  <c r="W279" i="14"/>
  <c r="V279" i="14"/>
  <c r="U279" i="14"/>
  <c r="S279" i="14"/>
  <c r="L279" i="14"/>
  <c r="W278" i="14"/>
  <c r="V278" i="14"/>
  <c r="U278" i="14"/>
  <c r="S278" i="14"/>
  <c r="L278" i="14"/>
  <c r="T278" i="14" s="1"/>
  <c r="S276" i="14"/>
  <c r="S277" i="14"/>
  <c r="L277" i="14"/>
  <c r="T277" i="14" s="1"/>
  <c r="S268" i="14"/>
  <c r="L268" i="14"/>
  <c r="L276" i="14"/>
  <c r="T276" i="14" s="1"/>
  <c r="S275" i="14"/>
  <c r="L275" i="14"/>
  <c r="T275" i="14" s="1"/>
  <c r="X307" i="14" l="1"/>
  <c r="X306" i="14"/>
  <c r="X305" i="14"/>
  <c r="X304" i="14"/>
  <c r="X303" i="14"/>
  <c r="T303" i="14"/>
  <c r="X302" i="14"/>
  <c r="X300" i="14"/>
  <c r="X301" i="14"/>
  <c r="X299" i="14"/>
  <c r="X297" i="14"/>
  <c r="X298" i="14"/>
  <c r="T297" i="14"/>
  <c r="X296" i="14"/>
  <c r="X278" i="14"/>
  <c r="X286" i="14"/>
  <c r="X282" i="14"/>
  <c r="X294" i="14"/>
  <c r="X268" i="14"/>
  <c r="X280" i="14"/>
  <c r="X288" i="14"/>
  <c r="X279" i="14"/>
  <c r="X293" i="14"/>
  <c r="X289" i="14"/>
  <c r="X281" i="14"/>
  <c r="X295" i="14"/>
  <c r="X287" i="14"/>
  <c r="X285" i="14"/>
  <c r="X277" i="14"/>
  <c r="X269" i="14"/>
  <c r="X292" i="14"/>
  <c r="X284" i="14"/>
  <c r="X276" i="14"/>
  <c r="X291" i="14"/>
  <c r="X283" i="14"/>
  <c r="X275" i="14"/>
  <c r="X267" i="14"/>
  <c r="X290" i="14"/>
  <c r="T294" i="14"/>
  <c r="T293" i="14"/>
  <c r="T282" i="14"/>
  <c r="T280" i="14"/>
  <c r="T279" i="14"/>
  <c r="T268" i="14"/>
  <c r="S274" i="14" l="1"/>
  <c r="L274" i="14"/>
  <c r="S273" i="14"/>
  <c r="L273" i="14"/>
  <c r="S272" i="14"/>
  <c r="L272" i="14"/>
  <c r="W271" i="14"/>
  <c r="V271" i="14"/>
  <c r="U271" i="14"/>
  <c r="S271" i="14"/>
  <c r="L271" i="14"/>
  <c r="S270" i="14"/>
  <c r="L270" i="14"/>
  <c r="W266" i="14"/>
  <c r="V266" i="14"/>
  <c r="U266" i="14"/>
  <c r="U264" i="14" s="1"/>
  <c r="S266" i="14"/>
  <c r="L266" i="14"/>
  <c r="L260" i="14"/>
  <c r="W255" i="14"/>
  <c r="V255" i="14"/>
  <c r="U255" i="14"/>
  <c r="S255" i="14"/>
  <c r="L255" i="14"/>
  <c r="W246" i="14"/>
  <c r="V246" i="14"/>
  <c r="U246" i="14"/>
  <c r="S246" i="14"/>
  <c r="L246" i="14"/>
  <c r="W254" i="14"/>
  <c r="V254" i="14"/>
  <c r="U254" i="14"/>
  <c r="S254" i="14"/>
  <c r="L254" i="14"/>
  <c r="W245" i="14"/>
  <c r="V245" i="14"/>
  <c r="U245" i="14"/>
  <c r="S245" i="14"/>
  <c r="L245" i="14"/>
  <c r="S234" i="14"/>
  <c r="S232" i="14"/>
  <c r="L234" i="14"/>
  <c r="W221" i="14"/>
  <c r="V221" i="14"/>
  <c r="U221" i="14"/>
  <c r="L221" i="14"/>
  <c r="S221" i="14"/>
  <c r="L232" i="14"/>
  <c r="S243" i="14"/>
  <c r="L243" i="14"/>
  <c r="S233" i="14"/>
  <c r="L233" i="14"/>
  <c r="S222" i="14"/>
  <c r="L222" i="14"/>
  <c r="S218" i="14"/>
  <c r="L218" i="14"/>
  <c r="S216" i="14"/>
  <c r="L216" i="14"/>
  <c r="S215" i="14"/>
  <c r="L215" i="14"/>
  <c r="S212" i="14"/>
  <c r="L212" i="14"/>
  <c r="S213" i="14"/>
  <c r="L213" i="14"/>
  <c r="W209" i="14"/>
  <c r="V209" i="14"/>
  <c r="U209" i="14"/>
  <c r="S209" i="14"/>
  <c r="L209" i="14"/>
  <c r="W207" i="14"/>
  <c r="V207" i="14"/>
  <c r="U207" i="14"/>
  <c r="S207" i="14"/>
  <c r="L207" i="14"/>
  <c r="V58" i="14"/>
  <c r="X222" i="14" l="1"/>
  <c r="T213" i="14"/>
  <c r="X213" i="14"/>
  <c r="T218" i="14"/>
  <c r="X218" i="14"/>
  <c r="T232" i="14"/>
  <c r="X232" i="14"/>
  <c r="T245" i="14"/>
  <c r="X245" i="14"/>
  <c r="T212" i="14"/>
  <c r="X212" i="14"/>
  <c r="T221" i="14"/>
  <c r="X221" i="14"/>
  <c r="T270" i="14"/>
  <c r="X270" i="14"/>
  <c r="T215" i="14"/>
  <c r="X215" i="14"/>
  <c r="T233" i="14"/>
  <c r="X233" i="14"/>
  <c r="T271" i="14"/>
  <c r="X271" i="14"/>
  <c r="T207" i="14"/>
  <c r="X207" i="14"/>
  <c r="T216" i="14"/>
  <c r="X216" i="14"/>
  <c r="T243" i="14"/>
  <c r="X243" i="14"/>
  <c r="T234" i="14"/>
  <c r="X234" i="14"/>
  <c r="T254" i="14"/>
  <c r="X254" i="14"/>
  <c r="X266" i="14"/>
  <c r="T274" i="14"/>
  <c r="X274" i="14"/>
  <c r="T255" i="14"/>
  <c r="X255" i="14"/>
  <c r="T272" i="14"/>
  <c r="X272" i="14"/>
  <c r="T209" i="14"/>
  <c r="X209" i="14"/>
  <c r="T246" i="14"/>
  <c r="X246" i="14"/>
  <c r="T273" i="14"/>
  <c r="X273" i="14"/>
  <c r="T266" i="14"/>
  <c r="T222" i="14"/>
  <c r="S205" i="14"/>
  <c r="L205" i="14"/>
  <c r="S204" i="14"/>
  <c r="L204" i="14"/>
  <c r="W203" i="14"/>
  <c r="V203" i="14"/>
  <c r="U203" i="14"/>
  <c r="S203" i="14"/>
  <c r="L203" i="14"/>
  <c r="S202" i="14"/>
  <c r="L202" i="14"/>
  <c r="S200" i="14"/>
  <c r="S198" i="14"/>
  <c r="T203" i="14" l="1"/>
  <c r="X203" i="14"/>
  <c r="T205" i="14"/>
  <c r="X205" i="14"/>
  <c r="T204" i="14"/>
  <c r="X204" i="14"/>
  <c r="T202" i="14"/>
  <c r="X202" i="14"/>
  <c r="S197" i="14"/>
  <c r="S195" i="14"/>
  <c r="L195" i="14"/>
  <c r="S191" i="14"/>
  <c r="L191" i="14"/>
  <c r="X191" i="14" l="1"/>
  <c r="T195" i="14"/>
  <c r="X195" i="14"/>
  <c r="V214" i="14"/>
  <c r="U214" i="14"/>
  <c r="W211" i="14"/>
  <c r="V211" i="14"/>
  <c r="U211" i="14"/>
  <c r="W210" i="14"/>
  <c r="V210" i="14"/>
  <c r="U210" i="14"/>
  <c r="L197" i="14"/>
  <c r="L200" i="14"/>
  <c r="L198" i="14"/>
  <c r="W190" i="14"/>
  <c r="V190" i="14"/>
  <c r="U190" i="14"/>
  <c r="S190" i="14"/>
  <c r="L190" i="14"/>
  <c r="W189" i="14"/>
  <c r="V189" i="14"/>
  <c r="U189" i="14"/>
  <c r="S189" i="14"/>
  <c r="L189" i="14"/>
  <c r="S186" i="14"/>
  <c r="L186" i="14"/>
  <c r="W185" i="14"/>
  <c r="V185" i="14"/>
  <c r="U185" i="14"/>
  <c r="W184" i="14"/>
  <c r="V184" i="14"/>
  <c r="U184" i="14"/>
  <c r="S184" i="14"/>
  <c r="S185" i="14"/>
  <c r="L184" i="14"/>
  <c r="L185" i="14"/>
  <c r="S182" i="14"/>
  <c r="L182" i="14"/>
  <c r="V179" i="14"/>
  <c r="U179" i="14"/>
  <c r="S181" i="14"/>
  <c r="S183" i="14"/>
  <c r="S187" i="14"/>
  <c r="S188" i="14"/>
  <c r="S192" i="14"/>
  <c r="S193" i="14"/>
  <c r="S194" i="14"/>
  <c r="S196" i="14"/>
  <c r="S199" i="14"/>
  <c r="S201" i="14"/>
  <c r="S206" i="14"/>
  <c r="S208" i="14"/>
  <c r="S210" i="14"/>
  <c r="S211" i="14"/>
  <c r="S214" i="14"/>
  <c r="S217" i="14"/>
  <c r="S219" i="14"/>
  <c r="S220" i="14"/>
  <c r="S223" i="14"/>
  <c r="S224" i="14"/>
  <c r="S225" i="14"/>
  <c r="S226" i="14"/>
  <c r="S227" i="14"/>
  <c r="S228" i="14"/>
  <c r="S229" i="14"/>
  <c r="S230" i="14"/>
  <c r="S231" i="14"/>
  <c r="S235" i="14"/>
  <c r="S236" i="14"/>
  <c r="S237" i="14"/>
  <c r="S238" i="14"/>
  <c r="S239" i="14"/>
  <c r="S240" i="14"/>
  <c r="S241" i="14"/>
  <c r="S242" i="14"/>
  <c r="S244" i="14"/>
  <c r="S247" i="14"/>
  <c r="S248" i="14"/>
  <c r="S249" i="14"/>
  <c r="S250" i="14"/>
  <c r="S251" i="14"/>
  <c r="S252" i="14"/>
  <c r="S253" i="14"/>
  <c r="S256" i="14"/>
  <c r="S257" i="14"/>
  <c r="S258" i="14"/>
  <c r="S259" i="14"/>
  <c r="S260" i="14"/>
  <c r="X260" i="14" s="1"/>
  <c r="S261" i="14"/>
  <c r="S262" i="14"/>
  <c r="S263" i="14"/>
  <c r="S264" i="14"/>
  <c r="S265" i="14"/>
  <c r="S179" i="14"/>
  <c r="L179" i="14"/>
  <c r="X179" i="14" l="1"/>
  <c r="T198" i="14"/>
  <c r="X198" i="14"/>
  <c r="T200" i="14"/>
  <c r="X200" i="14"/>
  <c r="T197" i="14"/>
  <c r="X197" i="14"/>
  <c r="T189" i="14"/>
  <c r="X189" i="14"/>
  <c r="T182" i="14"/>
  <c r="X182" i="14"/>
  <c r="T185" i="14"/>
  <c r="X185" i="14"/>
  <c r="T184" i="14"/>
  <c r="X184" i="14"/>
  <c r="T190" i="14"/>
  <c r="X190" i="14"/>
  <c r="T186" i="14"/>
  <c r="X186" i="14"/>
  <c r="T179" i="14"/>
  <c r="S178" i="14" l="1"/>
  <c r="L178" i="14"/>
  <c r="W176" i="14"/>
  <c r="V176" i="14"/>
  <c r="U176" i="14"/>
  <c r="S176" i="14"/>
  <c r="L176" i="14"/>
  <c r="W175" i="14"/>
  <c r="V175" i="14"/>
  <c r="U175" i="14"/>
  <c r="S175" i="14"/>
  <c r="L175" i="14"/>
  <c r="S174" i="14"/>
  <c r="L174" i="14"/>
  <c r="W172" i="14"/>
  <c r="V172" i="14"/>
  <c r="U172" i="14"/>
  <c r="S172" i="14"/>
  <c r="L172" i="14"/>
  <c r="W171" i="14"/>
  <c r="V171" i="14"/>
  <c r="U171" i="14"/>
  <c r="S171" i="14"/>
  <c r="L171" i="14"/>
  <c r="V170" i="14"/>
  <c r="U170" i="14"/>
  <c r="S170" i="14"/>
  <c r="L170" i="14"/>
  <c r="W169" i="14"/>
  <c r="V169" i="14"/>
  <c r="U169" i="14"/>
  <c r="S169" i="14"/>
  <c r="L169" i="14"/>
  <c r="S146" i="14"/>
  <c r="U163" i="14"/>
  <c r="S163" i="14"/>
  <c r="L163" i="14"/>
  <c r="S162" i="14"/>
  <c r="L162" i="14"/>
  <c r="S168" i="14"/>
  <c r="W168" i="14"/>
  <c r="V168" i="14"/>
  <c r="U168" i="14"/>
  <c r="L168" i="14"/>
  <c r="W167" i="14"/>
  <c r="V167" i="14"/>
  <c r="U167" i="14"/>
  <c r="S167" i="14"/>
  <c r="L167" i="14"/>
  <c r="W166" i="14"/>
  <c r="V166" i="14"/>
  <c r="U166" i="14"/>
  <c r="S166" i="14"/>
  <c r="L166" i="14"/>
  <c r="S164" i="14"/>
  <c r="L164" i="14"/>
  <c r="W160" i="14"/>
  <c r="V160" i="14"/>
  <c r="U160" i="14"/>
  <c r="S160" i="14"/>
  <c r="L160" i="14"/>
  <c r="S159" i="14"/>
  <c r="L159" i="14"/>
  <c r="W146" i="14"/>
  <c r="L146" i="14"/>
  <c r="S16" i="14"/>
  <c r="L16" i="14"/>
  <c r="W142" i="14"/>
  <c r="W140" i="14"/>
  <c r="W157" i="14"/>
  <c r="V157" i="14"/>
  <c r="U157" i="14"/>
  <c r="S157" i="14"/>
  <c r="L157" i="14"/>
  <c r="S155" i="14"/>
  <c r="L155" i="14"/>
  <c r="S152" i="14"/>
  <c r="L152" i="14"/>
  <c r="W150" i="14"/>
  <c r="V150" i="14"/>
  <c r="U150" i="14"/>
  <c r="S150" i="14"/>
  <c r="L150" i="14"/>
  <c r="S149" i="14"/>
  <c r="L149" i="14"/>
  <c r="S156" i="14"/>
  <c r="S158" i="14"/>
  <c r="S161" i="14"/>
  <c r="S165" i="14"/>
  <c r="S173" i="14"/>
  <c r="S177" i="14"/>
  <c r="S180" i="14"/>
  <c r="W154" i="14"/>
  <c r="V154" i="14"/>
  <c r="U154" i="14"/>
  <c r="S154" i="14"/>
  <c r="L154" i="14"/>
  <c r="W141" i="14"/>
  <c r="V141" i="14"/>
  <c r="U141" i="14"/>
  <c r="S141" i="14"/>
  <c r="L141" i="14"/>
  <c r="X174" i="14" l="1"/>
  <c r="X163" i="14"/>
  <c r="X157" i="14"/>
  <c r="T164" i="14"/>
  <c r="X164" i="14"/>
  <c r="T171" i="14"/>
  <c r="X171" i="14"/>
  <c r="X168" i="14"/>
  <c r="T170" i="14"/>
  <c r="X170" i="14"/>
  <c r="T175" i="14"/>
  <c r="X175" i="14"/>
  <c r="T150" i="14"/>
  <c r="X150" i="14"/>
  <c r="T16" i="14"/>
  <c r="X16" i="14"/>
  <c r="T172" i="14"/>
  <c r="X172" i="14"/>
  <c r="T176" i="14"/>
  <c r="X176" i="14"/>
  <c r="T141" i="14"/>
  <c r="X141" i="14"/>
  <c r="T152" i="14"/>
  <c r="X152" i="14"/>
  <c r="T166" i="14"/>
  <c r="X166" i="14"/>
  <c r="T149" i="14"/>
  <c r="X149" i="14"/>
  <c r="T155" i="14"/>
  <c r="X155" i="14"/>
  <c r="T178" i="14"/>
  <c r="X178" i="14"/>
  <c r="T159" i="14"/>
  <c r="X159" i="14"/>
  <c r="T162" i="14"/>
  <c r="X162" i="14"/>
  <c r="T160" i="14"/>
  <c r="X160" i="14"/>
  <c r="X154" i="14"/>
  <c r="T146" i="14"/>
  <c r="X146" i="14"/>
  <c r="T167" i="14"/>
  <c r="X167" i="14"/>
  <c r="T169" i="14"/>
  <c r="X169" i="14"/>
  <c r="T174" i="14"/>
  <c r="T168" i="14"/>
  <c r="T163" i="14"/>
  <c r="T157" i="14"/>
  <c r="T154" i="14"/>
  <c r="S147" i="14"/>
  <c r="S148" i="14"/>
  <c r="S151" i="14"/>
  <c r="S153" i="14"/>
  <c r="S145" i="14"/>
  <c r="S144" i="14"/>
  <c r="S143" i="14" l="1"/>
  <c r="S142" i="14"/>
  <c r="W265" i="14" l="1"/>
  <c r="V265" i="14"/>
  <c r="U265" i="14"/>
  <c r="L265" i="14"/>
  <c r="X265" i="14" s="1"/>
  <c r="L264" i="14"/>
  <c r="X264" i="14" s="1"/>
  <c r="W263" i="14"/>
  <c r="V263" i="14"/>
  <c r="U263" i="14"/>
  <c r="L263" i="14"/>
  <c r="X263" i="14" s="1"/>
  <c r="W262" i="14"/>
  <c r="V262" i="14"/>
  <c r="U262" i="14"/>
  <c r="L262" i="14"/>
  <c r="W261" i="14"/>
  <c r="V261" i="14"/>
  <c r="U261" i="14"/>
  <c r="L261" i="14"/>
  <c r="X261" i="14" s="1"/>
  <c r="W260" i="14"/>
  <c r="V260" i="14"/>
  <c r="U260" i="14"/>
  <c r="T260" i="14"/>
  <c r="W259" i="14"/>
  <c r="V259" i="14"/>
  <c r="U259" i="14"/>
  <c r="L259" i="14"/>
  <c r="X259" i="14" s="1"/>
  <c r="W258" i="14"/>
  <c r="V258" i="14"/>
  <c r="U258" i="14"/>
  <c r="L258" i="14"/>
  <c r="X258" i="14" s="1"/>
  <c r="W257" i="14"/>
  <c r="V257" i="14"/>
  <c r="U257" i="14"/>
  <c r="L257" i="14"/>
  <c r="X257" i="14" s="1"/>
  <c r="L256" i="14"/>
  <c r="X256" i="14" s="1"/>
  <c r="W253" i="14"/>
  <c r="V253" i="14"/>
  <c r="U253" i="14"/>
  <c r="L253" i="14"/>
  <c r="X253" i="14" s="1"/>
  <c r="W252" i="14"/>
  <c r="V252" i="14"/>
  <c r="U252" i="14"/>
  <c r="L252" i="14"/>
  <c r="W251" i="14"/>
  <c r="V251" i="14"/>
  <c r="U251" i="14"/>
  <c r="L251" i="14"/>
  <c r="X251" i="14" s="1"/>
  <c r="W250" i="14"/>
  <c r="V250" i="14"/>
  <c r="U250" i="14"/>
  <c r="L250" i="14"/>
  <c r="W249" i="14"/>
  <c r="V249" i="14"/>
  <c r="U249" i="14"/>
  <c r="L249" i="14"/>
  <c r="X249" i="14" s="1"/>
  <c r="L248" i="14"/>
  <c r="X248" i="14" s="1"/>
  <c r="W247" i="14"/>
  <c r="V247" i="14"/>
  <c r="U247" i="14"/>
  <c r="L247" i="14"/>
  <c r="X247" i="14" s="1"/>
  <c r="W244" i="14"/>
  <c r="V244" i="14"/>
  <c r="U244" i="14"/>
  <c r="L244" i="14"/>
  <c r="X244" i="14" s="1"/>
  <c r="W242" i="14"/>
  <c r="V242" i="14"/>
  <c r="U242" i="14"/>
  <c r="L242" i="14"/>
  <c r="X242" i="14" s="1"/>
  <c r="L241" i="14"/>
  <c r="W240" i="14"/>
  <c r="V240" i="14"/>
  <c r="U240" i="14"/>
  <c r="L240" i="14"/>
  <c r="X240" i="14" s="1"/>
  <c r="W239" i="14"/>
  <c r="V239" i="14"/>
  <c r="U239" i="14"/>
  <c r="L239" i="14"/>
  <c r="W238" i="14"/>
  <c r="V238" i="14"/>
  <c r="U238" i="14"/>
  <c r="L238" i="14"/>
  <c r="X238" i="14" s="1"/>
  <c r="W237" i="14"/>
  <c r="V237" i="14"/>
  <c r="U237" i="14"/>
  <c r="L237" i="14"/>
  <c r="X237" i="14" s="1"/>
  <c r="W236" i="14"/>
  <c r="V236" i="14"/>
  <c r="U236" i="14"/>
  <c r="L236" i="14"/>
  <c r="X236" i="14" s="1"/>
  <c r="L235" i="14"/>
  <c r="X235" i="14" s="1"/>
  <c r="L231" i="14"/>
  <c r="X231" i="14" s="1"/>
  <c r="L230" i="14"/>
  <c r="L229" i="14"/>
  <c r="X229" i="14" s="1"/>
  <c r="L228" i="14"/>
  <c r="W227" i="14"/>
  <c r="V227" i="14"/>
  <c r="U227" i="14"/>
  <c r="L227" i="14"/>
  <c r="X227" i="14" s="1"/>
  <c r="W226" i="14"/>
  <c r="V226" i="14"/>
  <c r="U226" i="14"/>
  <c r="L226" i="14"/>
  <c r="X226" i="14" s="1"/>
  <c r="W225" i="14"/>
  <c r="V225" i="14"/>
  <c r="U225" i="14"/>
  <c r="L225" i="14"/>
  <c r="X225" i="14" s="1"/>
  <c r="W224" i="14"/>
  <c r="V224" i="14"/>
  <c r="U224" i="14"/>
  <c r="L224" i="14"/>
  <c r="X224" i="14" s="1"/>
  <c r="W223" i="14"/>
  <c r="V223" i="14"/>
  <c r="U223" i="14"/>
  <c r="L223" i="14"/>
  <c r="X223" i="14" s="1"/>
  <c r="L220" i="14"/>
  <c r="W219" i="14"/>
  <c r="U219" i="14"/>
  <c r="L219" i="14"/>
  <c r="X219" i="14" s="1"/>
  <c r="W217" i="14"/>
  <c r="V217" i="14"/>
  <c r="U217" i="14"/>
  <c r="L217" i="14"/>
  <c r="W214" i="14"/>
  <c r="L214" i="14"/>
  <c r="X214" i="14" s="1"/>
  <c r="L211" i="14"/>
  <c r="X211" i="14" s="1"/>
  <c r="L210" i="14"/>
  <c r="X210" i="14" s="1"/>
  <c r="W208" i="14"/>
  <c r="V208" i="14"/>
  <c r="U208" i="14"/>
  <c r="L208" i="14"/>
  <c r="W206" i="14"/>
  <c r="V206" i="14"/>
  <c r="U206" i="14"/>
  <c r="L206" i="14"/>
  <c r="W201" i="14"/>
  <c r="V201" i="14"/>
  <c r="U201" i="14"/>
  <c r="L201" i="14"/>
  <c r="X201" i="14" s="1"/>
  <c r="W199" i="14"/>
  <c r="V199" i="14"/>
  <c r="U199" i="14"/>
  <c r="L199" i="14"/>
  <c r="X199" i="14" s="1"/>
  <c r="W196" i="14"/>
  <c r="V196" i="14"/>
  <c r="U196" i="14"/>
  <c r="L196" i="14"/>
  <c r="X196" i="14" s="1"/>
  <c r="W194" i="14"/>
  <c r="V194" i="14"/>
  <c r="U194" i="14"/>
  <c r="L194" i="14"/>
  <c r="X194" i="14" s="1"/>
  <c r="W193" i="14"/>
  <c r="V193" i="14"/>
  <c r="U193" i="14"/>
  <c r="L193" i="14"/>
  <c r="X193" i="14" s="1"/>
  <c r="W192" i="14"/>
  <c r="V192" i="14"/>
  <c r="U192" i="14"/>
  <c r="L192" i="14"/>
  <c r="X192" i="14" s="1"/>
  <c r="W191" i="14"/>
  <c r="V191" i="14"/>
  <c r="U191" i="14"/>
  <c r="T191" i="14"/>
  <c r="W188" i="14"/>
  <c r="V188" i="14"/>
  <c r="U188" i="14"/>
  <c r="L188" i="14"/>
  <c r="X188" i="14" s="1"/>
  <c r="W187" i="14"/>
  <c r="V187" i="14"/>
  <c r="U187" i="14"/>
  <c r="L187" i="14"/>
  <c r="W183" i="14"/>
  <c r="V183" i="14"/>
  <c r="U183" i="14"/>
  <c r="L183" i="14"/>
  <c r="W181" i="14"/>
  <c r="V181" i="14"/>
  <c r="U181" i="14"/>
  <c r="L181" i="14"/>
  <c r="X181" i="14" s="1"/>
  <c r="W180" i="14"/>
  <c r="V180" i="14"/>
  <c r="U180" i="14"/>
  <c r="L180" i="14"/>
  <c r="X180" i="14" s="1"/>
  <c r="W177" i="14"/>
  <c r="V177" i="14"/>
  <c r="U177" i="14"/>
  <c r="L177" i="14"/>
  <c r="W173" i="14"/>
  <c r="V173" i="14"/>
  <c r="U173" i="14"/>
  <c r="L173" i="14"/>
  <c r="W165" i="14"/>
  <c r="V165" i="14"/>
  <c r="U165" i="14"/>
  <c r="L165" i="14"/>
  <c r="X165" i="14" s="1"/>
  <c r="W161" i="14"/>
  <c r="V161" i="14"/>
  <c r="U161" i="14"/>
  <c r="L161" i="14"/>
  <c r="W158" i="14"/>
  <c r="V158" i="14"/>
  <c r="U158" i="14"/>
  <c r="L158" i="14"/>
  <c r="X158" i="14" s="1"/>
  <c r="W156" i="14"/>
  <c r="V156" i="14"/>
  <c r="U156" i="14"/>
  <c r="L156" i="14"/>
  <c r="W153" i="14"/>
  <c r="V153" i="14"/>
  <c r="U153" i="14"/>
  <c r="L153" i="14"/>
  <c r="X153" i="14" s="1"/>
  <c r="W151" i="14"/>
  <c r="V151" i="14"/>
  <c r="U151" i="14"/>
  <c r="L151" i="14"/>
  <c r="L148" i="14"/>
  <c r="W147" i="14"/>
  <c r="V147" i="14"/>
  <c r="U147" i="14"/>
  <c r="L147" i="14"/>
  <c r="W145" i="14"/>
  <c r="V145" i="14"/>
  <c r="U145" i="14"/>
  <c r="L145" i="14"/>
  <c r="W144" i="14"/>
  <c r="V144" i="14"/>
  <c r="U144" i="14"/>
  <c r="L144" i="14"/>
  <c r="X144" i="14" s="1"/>
  <c r="W143" i="14"/>
  <c r="V143" i="14"/>
  <c r="U143" i="14"/>
  <c r="L143" i="14"/>
  <c r="L142" i="14"/>
  <c r="U130" i="14"/>
  <c r="V130" i="14"/>
  <c r="W130" i="14"/>
  <c r="U131" i="14"/>
  <c r="V131" i="14"/>
  <c r="W131" i="14"/>
  <c r="U132" i="14"/>
  <c r="V132" i="14"/>
  <c r="W132" i="14"/>
  <c r="U133" i="14"/>
  <c r="V133" i="14"/>
  <c r="W133" i="14"/>
  <c r="U134" i="14"/>
  <c r="W134" i="14"/>
  <c r="U135" i="14"/>
  <c r="V135" i="14"/>
  <c r="W135" i="14"/>
  <c r="U136" i="14"/>
  <c r="V136" i="14"/>
  <c r="W136" i="14"/>
  <c r="U137" i="14"/>
  <c r="V137" i="14"/>
  <c r="W137" i="14"/>
  <c r="U138" i="14"/>
  <c r="V138" i="14"/>
  <c r="W138" i="14"/>
  <c r="U139" i="14"/>
  <c r="V139" i="14"/>
  <c r="W139" i="14"/>
  <c r="L140" i="14"/>
  <c r="S140" i="14"/>
  <c r="L135" i="14"/>
  <c r="L136" i="14"/>
  <c r="L137" i="14"/>
  <c r="L138" i="14"/>
  <c r="L139" i="14"/>
  <c r="S135" i="14"/>
  <c r="S136" i="14"/>
  <c r="S137" i="14"/>
  <c r="S138" i="14"/>
  <c r="S139" i="14"/>
  <c r="W129" i="14"/>
  <c r="V129" i="14"/>
  <c r="U129" i="14"/>
  <c r="W109" i="14"/>
  <c r="W108" i="14"/>
  <c r="W107" i="14"/>
  <c r="W106" i="14"/>
  <c r="W56" i="14"/>
  <c r="W49" i="14"/>
  <c r="W28" i="14"/>
  <c r="U109" i="14"/>
  <c r="U108" i="14"/>
  <c r="U107" i="14"/>
  <c r="U106" i="14"/>
  <c r="U56" i="14"/>
  <c r="U49" i="14"/>
  <c r="U28" i="14"/>
  <c r="W18" i="14"/>
  <c r="U18" i="14"/>
  <c r="W67" i="14"/>
  <c r="W39" i="14"/>
  <c r="V67" i="14"/>
  <c r="V39" i="14"/>
  <c r="U67" i="14"/>
  <c r="U39" i="14"/>
  <c r="S128" i="14"/>
  <c r="L128" i="14"/>
  <c r="S127" i="14"/>
  <c r="L127" i="14"/>
  <c r="S126" i="14"/>
  <c r="L126" i="14"/>
  <c r="S125" i="14"/>
  <c r="L125" i="14"/>
  <c r="S124" i="14"/>
  <c r="L124" i="14"/>
  <c r="S123" i="14"/>
  <c r="L123" i="14"/>
  <c r="S122" i="14"/>
  <c r="S120" i="14"/>
  <c r="L120" i="14"/>
  <c r="S121" i="14"/>
  <c r="S119" i="14"/>
  <c r="S118" i="14"/>
  <c r="L118" i="14"/>
  <c r="S116" i="14"/>
  <c r="L116" i="14"/>
  <c r="S113" i="14"/>
  <c r="L113" i="14"/>
  <c r="S114" i="14"/>
  <c r="L114" i="14"/>
  <c r="S130" i="14"/>
  <c r="S131" i="14"/>
  <c r="S132" i="14"/>
  <c r="S133" i="14"/>
  <c r="S134" i="14"/>
  <c r="L130" i="14"/>
  <c r="L131" i="14"/>
  <c r="L132" i="14"/>
  <c r="L133" i="14"/>
  <c r="L134" i="14"/>
  <c r="S129" i="14"/>
  <c r="L129" i="14"/>
  <c r="L122" i="14"/>
  <c r="L121" i="14"/>
  <c r="L119" i="14"/>
  <c r="S117" i="14"/>
  <c r="L117" i="14"/>
  <c r="S115" i="14"/>
  <c r="L115" i="14"/>
  <c r="S112" i="14"/>
  <c r="L112" i="14"/>
  <c r="S111" i="14"/>
  <c r="L111" i="14"/>
  <c r="S110" i="14"/>
  <c r="L110" i="14"/>
  <c r="S109" i="14"/>
  <c r="L109" i="14"/>
  <c r="S103" i="14"/>
  <c r="S104" i="14"/>
  <c r="S105" i="14"/>
  <c r="S106" i="14"/>
  <c r="S107" i="14"/>
  <c r="S108" i="14"/>
  <c r="L103" i="14"/>
  <c r="L104" i="14"/>
  <c r="L105" i="14"/>
  <c r="L106" i="14"/>
  <c r="L107" i="14"/>
  <c r="L108" i="14"/>
  <c r="L101" i="14"/>
  <c r="L98" i="14"/>
  <c r="S98" i="14"/>
  <c r="L85" i="14"/>
  <c r="S85" i="14"/>
  <c r="L83" i="14"/>
  <c r="L82" i="14"/>
  <c r="S82" i="14"/>
  <c r="L81" i="14"/>
  <c r="S81" i="14"/>
  <c r="L88" i="14"/>
  <c r="S88" i="14"/>
  <c r="L89" i="14"/>
  <c r="S89" i="14"/>
  <c r="X106" i="14" l="1"/>
  <c r="X107" i="14"/>
  <c r="X130" i="14"/>
  <c r="X109" i="14"/>
  <c r="X115" i="14"/>
  <c r="T121" i="14"/>
  <c r="X121" i="14"/>
  <c r="T136" i="14"/>
  <c r="X136" i="14"/>
  <c r="T126" i="14"/>
  <c r="X126" i="14"/>
  <c r="T135" i="14"/>
  <c r="X135" i="14"/>
  <c r="T89" i="14"/>
  <c r="X89" i="14"/>
  <c r="T143" i="14"/>
  <c r="X143" i="14"/>
  <c r="T145" i="14"/>
  <c r="X145" i="14"/>
  <c r="T148" i="14"/>
  <c r="X148" i="14"/>
  <c r="T85" i="14"/>
  <c r="X85" i="14"/>
  <c r="T140" i="14"/>
  <c r="X140" i="14"/>
  <c r="T156" i="14"/>
  <c r="X156" i="14"/>
  <c r="T173" i="14"/>
  <c r="X173" i="14"/>
  <c r="T183" i="14"/>
  <c r="X183" i="14"/>
  <c r="T262" i="14"/>
  <c r="X262" i="14"/>
  <c r="T118" i="14"/>
  <c r="X118" i="14"/>
  <c r="T117" i="14"/>
  <c r="X117" i="14"/>
  <c r="T124" i="14"/>
  <c r="X124" i="14"/>
  <c r="T230" i="14"/>
  <c r="X230" i="14"/>
  <c r="T82" i="14"/>
  <c r="X82" i="14"/>
  <c r="T113" i="14"/>
  <c r="X113" i="14"/>
  <c r="T83" i="14"/>
  <c r="X83" i="14"/>
  <c r="T112" i="14"/>
  <c r="X112" i="14"/>
  <c r="T142" i="14"/>
  <c r="X142" i="14"/>
  <c r="X105" i="14"/>
  <c r="T129" i="14"/>
  <c r="X129" i="14"/>
  <c r="T116" i="14"/>
  <c r="X116" i="14"/>
  <c r="X104" i="14"/>
  <c r="T123" i="14"/>
  <c r="X123" i="14"/>
  <c r="T127" i="14"/>
  <c r="X127" i="14"/>
  <c r="T151" i="14"/>
  <c r="X151" i="14"/>
  <c r="T161" i="14"/>
  <c r="X161" i="14"/>
  <c r="T206" i="14"/>
  <c r="X206" i="14"/>
  <c r="T228" i="14"/>
  <c r="X228" i="14"/>
  <c r="T88" i="14"/>
  <c r="X88" i="14"/>
  <c r="X134" i="14"/>
  <c r="T139" i="14"/>
  <c r="X139" i="14"/>
  <c r="T132" i="14"/>
  <c r="X132" i="14"/>
  <c r="T114" i="14"/>
  <c r="X114" i="14"/>
  <c r="T147" i="14"/>
  <c r="X147" i="14"/>
  <c r="T220" i="14"/>
  <c r="X220" i="14"/>
  <c r="T250" i="14"/>
  <c r="X250" i="14"/>
  <c r="T252" i="14"/>
  <c r="X252" i="14"/>
  <c r="T120" i="14"/>
  <c r="X120" i="14"/>
  <c r="T122" i="14"/>
  <c r="X122" i="14"/>
  <c r="X103" i="14"/>
  <c r="T239" i="14"/>
  <c r="X239" i="14"/>
  <c r="T241" i="14"/>
  <c r="X241" i="14"/>
  <c r="X98" i="14"/>
  <c r="T110" i="14"/>
  <c r="X110" i="14"/>
  <c r="X133" i="14"/>
  <c r="T128" i="14"/>
  <c r="X128" i="14"/>
  <c r="T81" i="14"/>
  <c r="X81" i="14"/>
  <c r="T138" i="14"/>
  <c r="X138" i="14"/>
  <c r="X108" i="14"/>
  <c r="T111" i="14"/>
  <c r="X111" i="14"/>
  <c r="T119" i="14"/>
  <c r="X119" i="14"/>
  <c r="T131" i="14"/>
  <c r="X131" i="14"/>
  <c r="T125" i="14"/>
  <c r="X125" i="14"/>
  <c r="T137" i="14"/>
  <c r="X137" i="14"/>
  <c r="T177" i="14"/>
  <c r="X177" i="14"/>
  <c r="T187" i="14"/>
  <c r="X187" i="14"/>
  <c r="T208" i="14"/>
  <c r="X208" i="14"/>
  <c r="T217" i="14"/>
  <c r="X217" i="14"/>
  <c r="T153" i="14"/>
  <c r="T165" i="14"/>
  <c r="T188" i="14"/>
  <c r="T192" i="14"/>
  <c r="T196" i="14"/>
  <c r="T199" i="14"/>
  <c r="T201" i="14"/>
  <c r="T210" i="14"/>
  <c r="T219" i="14"/>
  <c r="T223" i="14"/>
  <c r="T224" i="14"/>
  <c r="T225" i="14"/>
  <c r="T229" i="14"/>
  <c r="T231" i="14"/>
  <c r="T235" i="14"/>
  <c r="T236" i="14"/>
  <c r="T240" i="14"/>
  <c r="T242" i="14"/>
  <c r="T244" i="14"/>
  <c r="T247" i="14"/>
  <c r="T251" i="14"/>
  <c r="T253" i="14"/>
  <c r="T256" i="14"/>
  <c r="T257" i="14"/>
  <c r="T261" i="14"/>
  <c r="T263" i="14"/>
  <c r="T264" i="14"/>
  <c r="T265" i="14"/>
  <c r="T227" i="14"/>
  <c r="T238" i="14"/>
  <c r="T249" i="14"/>
  <c r="T259" i="14"/>
  <c r="T226" i="14"/>
  <c r="T237" i="14"/>
  <c r="T248" i="14"/>
  <c r="T258" i="14"/>
  <c r="T214" i="14"/>
  <c r="T194" i="14"/>
  <c r="T180" i="14"/>
  <c r="T211" i="14"/>
  <c r="T181" i="14"/>
  <c r="T193" i="14"/>
  <c r="T144" i="14"/>
  <c r="T158" i="14"/>
  <c r="T130" i="14"/>
  <c r="T134" i="14"/>
  <c r="T133" i="14"/>
  <c r="T115" i="14"/>
  <c r="T98" i="14"/>
  <c r="T109" i="14"/>
  <c r="T108" i="14"/>
  <c r="T107" i="14"/>
  <c r="T106" i="14"/>
  <c r="T105" i="14"/>
  <c r="T104" i="14"/>
  <c r="T103" i="14"/>
  <c r="W74" i="14"/>
  <c r="V74" i="14"/>
  <c r="U74" i="14"/>
  <c r="S72" i="14"/>
  <c r="S73" i="14"/>
  <c r="S74" i="14"/>
  <c r="S75" i="14"/>
  <c r="S76" i="14"/>
  <c r="S77" i="14"/>
  <c r="S78" i="14"/>
  <c r="S79" i="14"/>
  <c r="S71" i="14"/>
  <c r="S69" i="14"/>
  <c r="S70" i="14"/>
  <c r="S68" i="14"/>
  <c r="S67" i="14"/>
  <c r="S66" i="14"/>
  <c r="S55" i="14"/>
  <c r="L55" i="14"/>
  <c r="S53" i="14"/>
  <c r="S54" i="14"/>
  <c r="S56" i="14"/>
  <c r="S57" i="14"/>
  <c r="S58" i="14"/>
  <c r="S59" i="14"/>
  <c r="S60" i="14"/>
  <c r="S61" i="14"/>
  <c r="S62" i="14"/>
  <c r="S63" i="14"/>
  <c r="S64" i="14"/>
  <c r="S65" i="14"/>
  <c r="L80" i="14"/>
  <c r="L84" i="14"/>
  <c r="L86" i="14"/>
  <c r="L87" i="14"/>
  <c r="L90" i="14"/>
  <c r="L91" i="14"/>
  <c r="L92" i="14"/>
  <c r="L93" i="14"/>
  <c r="L94" i="14"/>
  <c r="L95" i="14"/>
  <c r="L96" i="14"/>
  <c r="L97" i="14"/>
  <c r="L99" i="14"/>
  <c r="L100" i="14"/>
  <c r="L102" i="14"/>
  <c r="S80" i="14"/>
  <c r="S84" i="14"/>
  <c r="S86" i="14"/>
  <c r="S87" i="14"/>
  <c r="S90" i="14"/>
  <c r="S91" i="14"/>
  <c r="S92" i="14"/>
  <c r="S93" i="14"/>
  <c r="S94" i="14"/>
  <c r="S95" i="14"/>
  <c r="S96" i="14"/>
  <c r="S97" i="14"/>
  <c r="S99" i="14"/>
  <c r="S100" i="14"/>
  <c r="S101" i="14"/>
  <c r="X101" i="14" s="1"/>
  <c r="S102" i="14"/>
  <c r="L79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63" i="14"/>
  <c r="L64" i="14"/>
  <c r="L65" i="14"/>
  <c r="L66" i="14"/>
  <c r="L62" i="14"/>
  <c r="L61" i="14"/>
  <c r="L60" i="14"/>
  <c r="L59" i="14"/>
  <c r="L58" i="14"/>
  <c r="L57" i="14"/>
  <c r="L56" i="14"/>
  <c r="S52" i="14"/>
  <c r="S51" i="14"/>
  <c r="S48" i="14"/>
  <c r="S49" i="14"/>
  <c r="S50" i="14"/>
  <c r="S47" i="14"/>
  <c r="S46" i="14"/>
  <c r="S44" i="14"/>
  <c r="S45" i="14"/>
  <c r="S43" i="14"/>
  <c r="S34" i="14"/>
  <c r="S35" i="14"/>
  <c r="S36" i="14"/>
  <c r="S37" i="14"/>
  <c r="S38" i="14"/>
  <c r="S39" i="14"/>
  <c r="S40" i="14"/>
  <c r="S41" i="14"/>
  <c r="S42" i="14"/>
  <c r="L41" i="14"/>
  <c r="L39" i="14"/>
  <c r="T75" i="14" l="1"/>
  <c r="X75" i="14"/>
  <c r="T67" i="14"/>
  <c r="X67" i="14"/>
  <c r="T94" i="14"/>
  <c r="X94" i="14"/>
  <c r="T66" i="14"/>
  <c r="X66" i="14"/>
  <c r="T73" i="14"/>
  <c r="X73" i="14"/>
  <c r="T64" i="14"/>
  <c r="X64" i="14"/>
  <c r="T72" i="14"/>
  <c r="X72" i="14"/>
  <c r="T99" i="14"/>
  <c r="X99" i="14"/>
  <c r="T39" i="14"/>
  <c r="X39" i="14"/>
  <c r="T59" i="14"/>
  <c r="X59" i="14"/>
  <c r="T78" i="14"/>
  <c r="X78" i="14"/>
  <c r="T70" i="14"/>
  <c r="X70" i="14"/>
  <c r="T97" i="14"/>
  <c r="X97" i="14"/>
  <c r="T87" i="14"/>
  <c r="X87" i="14"/>
  <c r="T55" i="14"/>
  <c r="X55" i="14"/>
  <c r="T80" i="14"/>
  <c r="X80" i="14"/>
  <c r="T93" i="14"/>
  <c r="X93" i="14"/>
  <c r="T56" i="14"/>
  <c r="X56" i="14"/>
  <c r="T102" i="14"/>
  <c r="X102" i="14"/>
  <c r="T57" i="14"/>
  <c r="X57" i="14"/>
  <c r="T91" i="14"/>
  <c r="X91" i="14"/>
  <c r="T63" i="14"/>
  <c r="X63" i="14"/>
  <c r="T71" i="14"/>
  <c r="X71" i="14"/>
  <c r="T60" i="14"/>
  <c r="X60" i="14"/>
  <c r="T77" i="14"/>
  <c r="X77" i="14"/>
  <c r="T69" i="14"/>
  <c r="X69" i="14"/>
  <c r="T96" i="14"/>
  <c r="X96" i="14"/>
  <c r="T86" i="14"/>
  <c r="X86" i="14"/>
  <c r="T62" i="14"/>
  <c r="X62" i="14"/>
  <c r="T74" i="14"/>
  <c r="X74" i="14"/>
  <c r="T79" i="14"/>
  <c r="X79" i="14"/>
  <c r="T65" i="14"/>
  <c r="X65" i="14"/>
  <c r="T92" i="14"/>
  <c r="X92" i="14"/>
  <c r="T100" i="14"/>
  <c r="X100" i="14"/>
  <c r="T58" i="14"/>
  <c r="X58" i="14"/>
  <c r="T90" i="14"/>
  <c r="X90" i="14"/>
  <c r="T41" i="14"/>
  <c r="X41" i="14"/>
  <c r="T61" i="14"/>
  <c r="X61" i="14"/>
  <c r="T76" i="14"/>
  <c r="X76" i="14"/>
  <c r="T68" i="14"/>
  <c r="X68" i="14"/>
  <c r="T95" i="14"/>
  <c r="X95" i="14"/>
  <c r="T84" i="14"/>
  <c r="X84" i="14"/>
  <c r="T101" i="14"/>
  <c r="S15" i="14"/>
  <c r="L15" i="14"/>
  <c r="L53" i="14"/>
  <c r="L52" i="14"/>
  <c r="L51" i="14"/>
  <c r="L50" i="14"/>
  <c r="L49" i="14"/>
  <c r="L48" i="14"/>
  <c r="L47" i="14"/>
  <c r="L46" i="14"/>
  <c r="L45" i="14"/>
  <c r="X45" i="14" s="1"/>
  <c r="L44" i="14"/>
  <c r="T46" i="14" l="1"/>
  <c r="X46" i="14"/>
  <c r="T49" i="14"/>
  <c r="X49" i="14"/>
  <c r="T50" i="14"/>
  <c r="X50" i="14"/>
  <c r="T47" i="14"/>
  <c r="X47" i="14"/>
  <c r="T53" i="14"/>
  <c r="X53" i="14"/>
  <c r="T15" i="14"/>
  <c r="X15" i="14"/>
  <c r="T48" i="14"/>
  <c r="X48" i="14"/>
  <c r="T51" i="14"/>
  <c r="X51" i="14"/>
  <c r="T44" i="14"/>
  <c r="X44" i="14"/>
  <c r="T52" i="14"/>
  <c r="X52" i="14"/>
  <c r="T45" i="14"/>
  <c r="L34" i="14"/>
  <c r="L35" i="14"/>
  <c r="L36" i="14"/>
  <c r="L37" i="14"/>
  <c r="L38" i="14"/>
  <c r="L40" i="14"/>
  <c r="L42" i="14"/>
  <c r="L43" i="14"/>
  <c r="L54" i="14"/>
  <c r="T40" i="14" l="1"/>
  <c r="X40" i="14"/>
  <c r="T36" i="14"/>
  <c r="X36" i="14"/>
  <c r="T35" i="14"/>
  <c r="X35" i="14"/>
  <c r="T54" i="14"/>
  <c r="X54" i="14"/>
  <c r="T34" i="14"/>
  <c r="X34" i="14"/>
  <c r="T43" i="14"/>
  <c r="X43" i="14"/>
  <c r="T42" i="14"/>
  <c r="X42" i="14"/>
  <c r="T38" i="14"/>
  <c r="X38" i="14"/>
  <c r="T37" i="14"/>
  <c r="X37" i="14"/>
  <c r="S31" i="14"/>
  <c r="L28" i="14"/>
  <c r="S28" i="14"/>
  <c r="L19" i="14"/>
  <c r="S19" i="14"/>
  <c r="X19" i="14" l="1"/>
  <c r="X28" i="14"/>
  <c r="T19" i="14"/>
  <c r="T28" i="14"/>
  <c r="L21" i="14"/>
  <c r="S21" i="14"/>
  <c r="X21" i="14" l="1"/>
  <c r="T21" i="14"/>
  <c r="L11" i="14"/>
  <c r="S11" i="14"/>
  <c r="X11" i="14" l="1"/>
  <c r="T11" i="14"/>
  <c r="L10" i="14"/>
  <c r="S10" i="14"/>
  <c r="X10" i="14" l="1"/>
  <c r="T10" i="14"/>
  <c r="W13" i="14"/>
  <c r="W14" i="14"/>
  <c r="W17" i="14"/>
  <c r="W22" i="14"/>
  <c r="W30" i="14"/>
  <c r="V14" i="14"/>
  <c r="V17" i="14"/>
  <c r="V22" i="14"/>
  <c r="V30" i="14"/>
  <c r="U14" i="14"/>
  <c r="U17" i="14"/>
  <c r="U22" i="14"/>
  <c r="U30" i="14"/>
  <c r="L6" i="14" l="1"/>
  <c r="L7" i="14"/>
  <c r="L8" i="14"/>
  <c r="L9" i="14"/>
  <c r="L12" i="14"/>
  <c r="L13" i="14"/>
  <c r="L14" i="14"/>
  <c r="L17" i="14"/>
  <c r="L18" i="14"/>
  <c r="L20" i="14"/>
  <c r="L22" i="14"/>
  <c r="L23" i="14"/>
  <c r="L24" i="14"/>
  <c r="L25" i="14"/>
  <c r="L26" i="14"/>
  <c r="L27" i="14"/>
  <c r="L29" i="14"/>
  <c r="L30" i="14"/>
  <c r="L31" i="14"/>
  <c r="X31" i="14" s="1"/>
  <c r="L32" i="14"/>
  <c r="L33" i="14"/>
  <c r="L4" i="14" l="1"/>
  <c r="S4" i="14"/>
  <c r="S3" i="14"/>
  <c r="S5" i="14"/>
  <c r="S6" i="14"/>
  <c r="X6" i="14" s="1"/>
  <c r="S7" i="14"/>
  <c r="X7" i="14" s="1"/>
  <c r="S8" i="14"/>
  <c r="X8" i="14" s="1"/>
  <c r="S9" i="14"/>
  <c r="X9" i="14" s="1"/>
  <c r="S12" i="14"/>
  <c r="X12" i="14" s="1"/>
  <c r="S13" i="14"/>
  <c r="X13" i="14" s="1"/>
  <c r="S14" i="14"/>
  <c r="X14" i="14" s="1"/>
  <c r="S17" i="14"/>
  <c r="X17" i="14" s="1"/>
  <c r="S18" i="14"/>
  <c r="X18" i="14" s="1"/>
  <c r="S20" i="14"/>
  <c r="X20" i="14" s="1"/>
  <c r="S22" i="14"/>
  <c r="X22" i="14" s="1"/>
  <c r="S23" i="14"/>
  <c r="X23" i="14" s="1"/>
  <c r="S24" i="14"/>
  <c r="X24" i="14" s="1"/>
  <c r="S25" i="14"/>
  <c r="X25" i="14" s="1"/>
  <c r="S26" i="14"/>
  <c r="X26" i="14" s="1"/>
  <c r="S27" i="14"/>
  <c r="X27" i="14" s="1"/>
  <c r="S29" i="14"/>
  <c r="X29" i="14" s="1"/>
  <c r="S30" i="14"/>
  <c r="X30" i="14" s="1"/>
  <c r="S32" i="14"/>
  <c r="X32" i="14" s="1"/>
  <c r="S33" i="14"/>
  <c r="X33" i="14" s="1"/>
  <c r="S2" i="14"/>
  <c r="X4" i="14" l="1"/>
  <c r="T4" i="14"/>
  <c r="G133" i="18"/>
  <c r="G90" i="18"/>
  <c r="G46" i="18"/>
  <c r="H133" i="18" l="1"/>
  <c r="L3" i="14" l="1"/>
  <c r="X3" i="14" s="1"/>
  <c r="L5" i="14"/>
  <c r="X5" i="14" s="1"/>
  <c r="T6" i="14"/>
  <c r="T7" i="14"/>
  <c r="T12" i="14"/>
  <c r="T18" i="14"/>
  <c r="T20" i="14"/>
  <c r="T24" i="14" s="1"/>
  <c r="T22" i="14"/>
  <c r="T23" i="14"/>
  <c r="T29" i="14"/>
  <c r="T32" i="14"/>
  <c r="L2" i="14"/>
  <c r="X2" i="14" s="1"/>
  <c r="T3" i="14" l="1"/>
  <c r="T33" i="14"/>
  <c r="T17" i="14"/>
  <c r="T14" i="14"/>
  <c r="T13" i="14"/>
  <c r="T9" i="14"/>
  <c r="T30" i="14"/>
  <c r="T8" i="14"/>
  <c r="T2" i="14"/>
  <c r="T31" i="14"/>
  <c r="T27" i="14"/>
  <c r="T5" i="14"/>
  <c r="T25" i="14"/>
  <c r="T26" i="14"/>
  <c r="N40" i="15" l="1"/>
  <c r="N39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</authors>
  <commentList>
    <comment ref="F5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Incluye estudiantes primaria, secundaria y patrulla escolar</t>
        </r>
      </text>
    </comment>
  </commentList>
</comments>
</file>

<file path=xl/sharedStrings.xml><?xml version="1.0" encoding="utf-8"?>
<sst xmlns="http://schemas.openxmlformats.org/spreadsheetml/2006/main" count="3798" uniqueCount="934">
  <si>
    <t>FECHA DE LA ACTIVIDAD
(DÍA-MES-AÑO)</t>
  </si>
  <si>
    <t>MES</t>
  </si>
  <si>
    <t>ÁREA DE EDUCACIÓN VIAL</t>
  </si>
  <si>
    <t>PÚBLICOS</t>
  </si>
  <si>
    <t xml:space="preserve">TIPO DE INTERVENCIÓN </t>
  </si>
  <si>
    <t>RESPONSABLE</t>
  </si>
  <si>
    <t>DESCRIPCIÓN DE ACTIVIDAD
(Escriba brevemente la actividad realizada)</t>
  </si>
  <si>
    <t>INSTITUCIÓN O EMPRESA</t>
  </si>
  <si>
    <t>PERSONA DE CONTACTO O BENEFICIARIO</t>
  </si>
  <si>
    <t>HOMBRE</t>
  </si>
  <si>
    <t>MUJER</t>
  </si>
  <si>
    <t>TOTAL SEXO</t>
  </si>
  <si>
    <t>PRIMERA INFANCIA
(Hasta 5 años)</t>
  </si>
  <si>
    <t>INFANCIA
(6 a 11 años)</t>
  </si>
  <si>
    <t>ADOLESCENCIA
(12 años a 17 años)</t>
  </si>
  <si>
    <t>ADULTOS-JÓVENES
(18 años a 28 años)</t>
  </si>
  <si>
    <t>ADULTOS
(29 años a 60 años)</t>
  </si>
  <si>
    <t>PERSONAS MAYORES
( Mayores de 60 años)</t>
  </si>
  <si>
    <t>TOTAL RANGOS</t>
  </si>
  <si>
    <t>TOTAL GENERAL
(no modificar)</t>
  </si>
  <si>
    <t>ZONA</t>
  </si>
  <si>
    <t>BARRIO</t>
  </si>
  <si>
    <t>GEOREFERENCIACIÓN</t>
  </si>
  <si>
    <t>TOTAL GENERAL
(no modificar)2</t>
  </si>
  <si>
    <t>TOTAL GENERAL
(no modificar)3</t>
  </si>
  <si>
    <t>ENE</t>
  </si>
  <si>
    <t>Acciones Por La Vida - ANSV</t>
  </si>
  <si>
    <t>Motociclistas</t>
  </si>
  <si>
    <t>Acciones por la vida para motociclistas ANSV</t>
  </si>
  <si>
    <t>Juan Carlos Caicedo</t>
  </si>
  <si>
    <t>Desarrollar actividades pedagógicas y artísticas en vía para mitigar conductas de riesgo que están asociadas a los siniestros viales</t>
  </si>
  <si>
    <t>Agencia Nacional de Seguridad Vial</t>
  </si>
  <si>
    <t>Andrés Cristancho</t>
  </si>
  <si>
    <t>Zona 9</t>
  </si>
  <si>
    <t>Centro</t>
  </si>
  <si>
    <t>6.169773013301722, -75.58747462568526</t>
  </si>
  <si>
    <t>Experiencias ciudadanas en movilidad sostenible y segura</t>
  </si>
  <si>
    <t>Conductores sancionados por embriaguez</t>
  </si>
  <si>
    <t>Orientación y seguimiento a labor comunitaria</t>
  </si>
  <si>
    <t>Sensibilización en prevención de la conducción bajo los efectos del alcohol o sustancias psicoactivas.</t>
  </si>
  <si>
    <t>Secretaría de Movilidad</t>
  </si>
  <si>
    <t>Jorge Wilson Osorio</t>
  </si>
  <si>
    <t>6.168450558868997, -75.5896412723252</t>
  </si>
  <si>
    <t>Jairo Gaviria</t>
  </si>
  <si>
    <t>Emiro Jose Osorio</t>
  </si>
  <si>
    <t>Jairo Camacho Lara</t>
  </si>
  <si>
    <t>FEB</t>
  </si>
  <si>
    <t>Diego Alexander Renso</t>
  </si>
  <si>
    <t>Juan David Hurtado</t>
  </si>
  <si>
    <t>Educación vial en empresas</t>
  </si>
  <si>
    <t>Colaboradores  de las diferentes dependencias de la Alcaldía</t>
  </si>
  <si>
    <t>Formación para el fortalecimiento de conocimientos, hábitos y comportamientos seguros</t>
  </si>
  <si>
    <t>Recomendaciones de seguridad vial como conductores y acompañantes de motocicleta</t>
  </si>
  <si>
    <t>Secretaria de Gobierno</t>
  </si>
  <si>
    <t>Geovanny Perez</t>
  </si>
  <si>
    <t>Zona 2</t>
  </si>
  <si>
    <t>San Marcos</t>
  </si>
  <si>
    <t>6.173125983893078, -75.58883704052495</t>
  </si>
  <si>
    <t>Reunion de planeacion de las diferentes intervenciones en educacion y seguridad vial para Amigos del Barrio y cuena</t>
  </si>
  <si>
    <t>Enviaseo</t>
  </si>
  <si>
    <t>Juan David Carmona</t>
  </si>
  <si>
    <t xml:space="preserve">Enviciescuela. Actividad experiencial en bicicleta 
</t>
  </si>
  <si>
    <t>Reunion de planeacion de las actividades del programa de Enviciescuela con personal del INDER</t>
  </si>
  <si>
    <t>Juan Pablo zorrilla</t>
  </si>
  <si>
    <t>Zona 1</t>
  </si>
  <si>
    <t>Las Vegas</t>
  </si>
  <si>
    <t>6.165622783551734, -75.5992929118132</t>
  </si>
  <si>
    <t>Educación vial en instituciones educativas</t>
  </si>
  <si>
    <t>Docentes de primaria instituciones educativas</t>
  </si>
  <si>
    <t>Reunión de planeación para actividades</t>
  </si>
  <si>
    <t>Reunion de planeacion de las actividades de educacion vial con docentes,padrs de familia y alumnos</t>
  </si>
  <si>
    <t>I.E JOSE MANUEL RESTREPO VELEZ - SEDE FERNANDO GONZALEZ</t>
  </si>
  <si>
    <t>Gloria Rojas</t>
  </si>
  <si>
    <t>Zona 8</t>
  </si>
  <si>
    <t>Alcalà</t>
  </si>
  <si>
    <t>I.E LA PAZ</t>
  </si>
  <si>
    <t>Wilmar Florez</t>
  </si>
  <si>
    <t>Agente de Transito</t>
  </si>
  <si>
    <t>Sensibilizaciones en educación vial</t>
  </si>
  <si>
    <t>Daniel Ríos</t>
  </si>
  <si>
    <t>Recomendaciones de seguridad vial como conductores y acompañantes de motocicleta.</t>
  </si>
  <si>
    <t xml:space="preserve">Alejandro Barco </t>
  </si>
  <si>
    <t>Brenda Cepeda</t>
  </si>
  <si>
    <t>Taller transversalidad de las areas del conocimiento con movilidad</t>
  </si>
  <si>
    <t>I.E COMERCIAL DE ENVIGADO - SEDE PIO XII</t>
  </si>
  <si>
    <t>Samira Fonseca</t>
  </si>
  <si>
    <t>Docentes de secundaria instituciones educativas</t>
  </si>
  <si>
    <t>I.E JOSE MANUEL RESTREPO VELEZ</t>
  </si>
  <si>
    <t>Bairon Sepulveda</t>
  </si>
  <si>
    <t>Empleados de empresas comerciales y de servicios del municipio</t>
  </si>
  <si>
    <t>Reunion de planeacion de seguimiento a los PME de las diferentes instituciones educativas del municipio</t>
  </si>
  <si>
    <t>Secretaria de Educacion</t>
  </si>
  <si>
    <t>Veronica Usuga</t>
  </si>
  <si>
    <t>6.171594, -75.591214</t>
  </si>
  <si>
    <t>Formación en funciones de auxiliar de tránsito</t>
  </si>
  <si>
    <t>Reunion de planeacion de las actividades de formacion para el personal de cuencas</t>
  </si>
  <si>
    <t>ENVIASEO</t>
  </si>
  <si>
    <t>Juan Carlos Carmona</t>
  </si>
  <si>
    <t>I.E ALEJANDRO VELEZ BARRIENTOS</t>
  </si>
  <si>
    <t>Ligia Chacon</t>
  </si>
  <si>
    <t>6.170070, -75.592298</t>
  </si>
  <si>
    <t>Padres de familia</t>
  </si>
  <si>
    <t>Capacitacion Humanizando la Movilidad</t>
  </si>
  <si>
    <t>Capacitacion humanizando la Movilidad, manejo y control de la circulaciuon de vehiculos</t>
  </si>
  <si>
    <t>INDER</t>
  </si>
  <si>
    <t>Juan Pablo Agudelo</t>
  </si>
  <si>
    <t>Patrulla de Tránsito</t>
  </si>
  <si>
    <t>Taller de crecimiento personal.</t>
  </si>
  <si>
    <t>Los Naranjos</t>
  </si>
  <si>
    <t>6.169505127932036, -75.58258243619996</t>
  </si>
  <si>
    <t>Alejandro Guzman Duque</t>
  </si>
  <si>
    <t>Colaboradores de diferentes dependeancias de la alcaldia</t>
  </si>
  <si>
    <t>Capacitacion humanizando la Movilidad al personal de ambien-servicios manejo y control de la circulaciuon de vehiculos</t>
  </si>
  <si>
    <t>6.170816056852942, -75.59078118374059</t>
  </si>
  <si>
    <t>Capacitacion humanizando la Movilidad, manejo y control de la circulaciuon de vehiculos, Recomendaciones movilidad segura.</t>
  </si>
  <si>
    <t>Giovany Perez</t>
  </si>
  <si>
    <t>Juan carlos Carmona</t>
  </si>
  <si>
    <t>6.167664, -75.586311</t>
  </si>
  <si>
    <t>I.E LAS PALMAS</t>
  </si>
  <si>
    <t>Jorge marulanda</t>
  </si>
  <si>
    <t>MAR</t>
  </si>
  <si>
    <t>Joyce Velez</t>
  </si>
  <si>
    <t>Maria Piedad Arango V.</t>
  </si>
  <si>
    <t>Acciones por la vida - ANSV</t>
  </si>
  <si>
    <t>Ciclistas</t>
  </si>
  <si>
    <t>Apoyo en la celebracion del dia internacional de la ciclovia con el programa de ENVICIESCUELA</t>
  </si>
  <si>
    <t>Inder</t>
  </si>
  <si>
    <t>Juan pablo Agude Zorrilla</t>
  </si>
  <si>
    <t>Sensibilización en movilidad sostenible y segura</t>
  </si>
  <si>
    <t>Capacitacion en educacion y seguridad vial con la capacitacion humanizando la movilidad a un grupo de padres</t>
  </si>
  <si>
    <t>CENTRO EDUCATIVO LA GACELA</t>
  </si>
  <si>
    <t>Angela Gomez</t>
  </si>
  <si>
    <t>Zona 7</t>
  </si>
  <si>
    <t>Alto de las Flores</t>
  </si>
  <si>
    <t>6.15584144850407, -75.60075331324106</t>
  </si>
  <si>
    <t>CDI MICHIN</t>
  </si>
  <si>
    <t>Gloria Patricia Mejia</t>
  </si>
  <si>
    <t>Administrativos instituciones educativas</t>
  </si>
  <si>
    <t>Reunion de planeacion de las estrategias de educacion vial para docentes,padres de familia y alumnos</t>
  </si>
  <si>
    <t>I.E MARTIN EDUARDO RIOS</t>
  </si>
  <si>
    <t>Zona 13</t>
  </si>
  <si>
    <t>Vereda Pantanillo</t>
  </si>
  <si>
    <t>6.186791, -75.490075</t>
  </si>
  <si>
    <t>Ruben Alcala</t>
  </si>
  <si>
    <t>I.E MARIA POUSSSEPIN</t>
  </si>
  <si>
    <t>Zona 3</t>
  </si>
  <si>
    <t>Uribe Ángel</t>
  </si>
  <si>
    <t>6.171157, -75.577011</t>
  </si>
  <si>
    <t>Auxiliares de tránsito</t>
  </si>
  <si>
    <t>Capacitar a un personal de obra en funciones de auxiliar de transito</t>
  </si>
  <si>
    <t>ARRAYANES</t>
  </si>
  <si>
    <t>Juan Carmona</t>
  </si>
  <si>
    <t>I.E MANUEL URIBE ANGEL - SEDE MARCELIANO VELEZ</t>
  </si>
  <si>
    <t>Adriana Naranjo</t>
  </si>
  <si>
    <t>I.E COMERCIAL DE ENVIGADO</t>
  </si>
  <si>
    <t>Nelson Velez</t>
  </si>
  <si>
    <t>Zona 6</t>
  </si>
  <si>
    <t>La Mina</t>
  </si>
  <si>
    <t>6.153470, -75.584819</t>
  </si>
  <si>
    <t>Capacitacio sobre la transversalizacion de las areas del conocimiento con movilidad</t>
  </si>
  <si>
    <t>Liliana Restrepo</t>
  </si>
  <si>
    <t>I.E LETICIA ARANGO DE AVENDAÑO</t>
  </si>
  <si>
    <t>Fabio Restrepo</t>
  </si>
  <si>
    <t>La Paz</t>
  </si>
  <si>
    <t>6.163314, -75.594252</t>
  </si>
  <si>
    <t>I.E SAN VICENTE ALTOD E LAS FLORES</t>
  </si>
  <si>
    <t>Veronica usuga</t>
  </si>
  <si>
    <t>6.155359, -75.600822</t>
  </si>
  <si>
    <t>Padres de familia Alejandro velez</t>
  </si>
  <si>
    <t>Escuela de padres</t>
  </si>
  <si>
    <t>Escuela de padres JOMAR</t>
  </si>
  <si>
    <t>Sebastian Gaviria</t>
  </si>
  <si>
    <t>CEFIT</t>
  </si>
  <si>
    <t>Alejandra Arroyave</t>
  </si>
  <si>
    <t>Barrio Mesa</t>
  </si>
  <si>
    <t>6.165319, -75.581362</t>
  </si>
  <si>
    <t>Centro de Educación Vial</t>
  </si>
  <si>
    <t>Estuduantes de primaria</t>
  </si>
  <si>
    <t>Capacitacion en educacion y seguridad vial  esdiantes de primaria</t>
  </si>
  <si>
    <t>Amigos del Camino ANSV</t>
  </si>
  <si>
    <t>Yeferson</t>
  </si>
  <si>
    <t>LEIDY RODRIGUEZ</t>
  </si>
  <si>
    <t>Dialogos de movilidad segura y sostenible</t>
  </si>
  <si>
    <t>Lucas areiza</t>
  </si>
  <si>
    <t>ZONA 6</t>
  </si>
  <si>
    <t xml:space="preserve">Alumnos de bachillerato </t>
  </si>
  <si>
    <t>Formacion de la patrulla escolar</t>
  </si>
  <si>
    <t>Conformacion de la patrulla escolar</t>
  </si>
  <si>
    <t>I.E MANUEL URIBE ANGEL</t>
  </si>
  <si>
    <t>Willian florez</t>
  </si>
  <si>
    <t>Escuela de padres y reunion general con el secretario de movilidad</t>
  </si>
  <si>
    <t>Pontevedra</t>
  </si>
  <si>
    <t>6.177194, -75.584143</t>
  </si>
  <si>
    <t>Docentes secundaria</t>
  </si>
  <si>
    <t>Taller con docentes</t>
  </si>
  <si>
    <t>Zona 12</t>
  </si>
  <si>
    <t>Vereda Las Palmas</t>
  </si>
  <si>
    <t>6.151222, -75.533765</t>
  </si>
  <si>
    <t>ABRIL</t>
  </si>
  <si>
    <t>JOAQUIN ARIAS</t>
  </si>
  <si>
    <t>Edgar arias</t>
  </si>
  <si>
    <t>POBLACION EN GENERAL</t>
  </si>
  <si>
    <t>Participacion en al semana de la salud universidad CES, con la campaña el perfecto egoista</t>
  </si>
  <si>
    <t>Universidad CES</t>
  </si>
  <si>
    <t>Diana alzate</t>
  </si>
  <si>
    <t>Zona 10</t>
  </si>
  <si>
    <t>Escobero</t>
  </si>
  <si>
    <t>6.137976, -75.556539</t>
  </si>
  <si>
    <t>Capacitacion al personal administrativo con el taller humanizando la movilidad</t>
  </si>
  <si>
    <t>DIANA SANCHEZ</t>
  </si>
  <si>
    <t>Primavera</t>
  </si>
  <si>
    <t>6.165654575218992, -75.59818573675861</t>
  </si>
  <si>
    <t>ANDRES JARAMILLO</t>
  </si>
  <si>
    <t>PRESCOLAR DESPERTARES</t>
  </si>
  <si>
    <t>Conocer la importancia del peaton y el ciclista en la movilidad</t>
  </si>
  <si>
    <t>preescolar despertares</t>
  </si>
  <si>
    <t>SANDRA MORALES</t>
  </si>
  <si>
    <t>Población en general</t>
  </si>
  <si>
    <t>Participaciòn en eventos de ciudad</t>
  </si>
  <si>
    <t>Procesion de ramos parroquia santa gertrudis</t>
  </si>
  <si>
    <t>PEATONES</t>
  </si>
  <si>
    <t>Viacrucis infantil parroquia san jose</t>
  </si>
  <si>
    <t xml:space="preserve">San José </t>
  </si>
  <si>
    <t>6.158888, -75.580766</t>
  </si>
  <si>
    <t>Procesion santo sepulcro</t>
  </si>
  <si>
    <t>Procesion de resurrecion santa gertrudis</t>
  </si>
  <si>
    <t>Estudiantes primaria</t>
  </si>
  <si>
    <t>Orientación y seguimiento al Plan de Movilidad Escolar</t>
  </si>
  <si>
    <t>Lanzamiento del proyecto de movilidad escolar e inaguracion de la patrulla escolar</t>
  </si>
  <si>
    <t>Enseñar a los niños la importancia de conocer y aprender las normas de transito, grados tercero y cuarto</t>
  </si>
  <si>
    <t>I.E. FERNANDO GONZALEZ</t>
  </si>
  <si>
    <t>Carolina Rendon</t>
  </si>
  <si>
    <t>Enseñar a los niños la importancia de conocer y aprender las normas de transito, grados segundos</t>
  </si>
  <si>
    <t>ANA CRISTINA CASTAÑO</t>
  </si>
  <si>
    <t>JULIAN QUINTERO</t>
  </si>
  <si>
    <t>Enseñar a los niños la importancia de conocer y aprender las normas de transito, grados quintos</t>
  </si>
  <si>
    <t>SANDRA MILENA TAMAYO</t>
  </si>
  <si>
    <t>Stand instalaciones de ENVIASEO, capaña del Perfecto egoista, quien quiere ser el mejor actor vial, humanizando la Movilidad, manejo y control de la circulación de vehiculos, Recomendaciones movilidad segura.</t>
  </si>
  <si>
    <t>MAY</t>
  </si>
  <si>
    <t>Estudiantes preescolar</t>
  </si>
  <si>
    <t>Yuliana Ramirez</t>
  </si>
  <si>
    <t>Enseñar a los niños la importancia de conocer y aprender las normas de transito</t>
  </si>
  <si>
    <t>Daniela Sanchez</t>
  </si>
  <si>
    <t>Salado</t>
  </si>
  <si>
    <t>6.153244, -75.577675</t>
  </si>
  <si>
    <t>LUZ MARINA SEPULVEDA</t>
  </si>
  <si>
    <t>Cristian Usuga</t>
  </si>
  <si>
    <t>KEVIN ANDREY AGUDELO</t>
  </si>
  <si>
    <t>Ofrecimiento de servicios de educación vial</t>
  </si>
  <si>
    <t>Capacitacion con los docentes sobre la transversalizacion de educacion vial con las diferentes areas del conocimiento al igual que las actividades con los alumnos de primaria</t>
  </si>
  <si>
    <t>I.E SAN VICENTE DE PAUL</t>
  </si>
  <si>
    <t>Maria Fernanda Rojas</t>
  </si>
  <si>
    <t>Experiencia ciudadana en movilidad sostenible y segura</t>
  </si>
  <si>
    <t>Enseñar a los niños la importancia de conocer y aprender las normas de transito. Grados transición y primero</t>
  </si>
  <si>
    <t>Estudiantes secundaria</t>
  </si>
  <si>
    <t>Capacitar a los alumnos sobre la importancia que tenemos como diferentes actores viales grado sexto</t>
  </si>
  <si>
    <t>6.170375, -75.589731</t>
  </si>
  <si>
    <t>Capacitar a los alumnos sobre la importancia que tenemos como diferentes actores viales grado septimo</t>
  </si>
  <si>
    <t>Enseñar a los niños la importancia de conocer y aprender las normas de transito, grados transicion</t>
  </si>
  <si>
    <t>Ana Cristrina Ramirez</t>
  </si>
  <si>
    <t>Secrestaria de Movilidad</t>
  </si>
  <si>
    <t>Alber Yeison Morales</t>
  </si>
  <si>
    <t>Capacitar a los alumnos sobre la importancia que tenemos como diferentes actores viales grado octavo</t>
  </si>
  <si>
    <t>Capacitar a los alumnos sobre la importancia que tenemos como diferentes actores viales grado novena</t>
  </si>
  <si>
    <t>Capacitar a los alumnos sobre la importancia que tenemos como diferentes actores viales grado decimo</t>
  </si>
  <si>
    <t>Capacitar a los alumnos sobre la importancia que tenemos como diferentes actores viales grado once</t>
  </si>
  <si>
    <t>Escuela de padres con el tema Humanizando la Movilidad</t>
  </si>
  <si>
    <t>I.E JOSE MIGUEL DE LA CALLE</t>
  </si>
  <si>
    <t>Lineth Patricia Hernandez</t>
  </si>
  <si>
    <t xml:space="preserve">Zona 9 </t>
  </si>
  <si>
    <t>Barrio Obrero</t>
  </si>
  <si>
    <t>6.172741, -75.581248</t>
  </si>
  <si>
    <t xml:space="preserve">Visita al C.E.V del grado Transicion </t>
  </si>
  <si>
    <t xml:space="preserve">Visita al C.E.V del grado Primero </t>
  </si>
  <si>
    <t>Actividad experiencial en educaciòn vial</t>
  </si>
  <si>
    <t>Con la ANSV se realiza la actrividad de los titeres con la propuesta de buenas acciones para la vida</t>
  </si>
  <si>
    <t>Pablo Andres Sanchez</t>
  </si>
  <si>
    <t>Visita al C.E.V del grado quintos</t>
  </si>
  <si>
    <t>6.172711, -75.586413</t>
  </si>
  <si>
    <t>Ana Cristina Cardona</t>
  </si>
  <si>
    <t xml:space="preserve">Visita al C.E.V </t>
  </si>
  <si>
    <t>Angela Cano Mesa</t>
  </si>
  <si>
    <t>Actividad experiencial en educaciòn vial y campaña del perfecto egoista</t>
  </si>
  <si>
    <t xml:space="preserve">Acompañamiento a la casa de la justicia móvil  </t>
  </si>
  <si>
    <t>Municipio de Envigado</t>
  </si>
  <si>
    <t>Sandra Ortega</t>
  </si>
  <si>
    <t>6.160411608501757, -75.58388238277243</t>
  </si>
  <si>
    <t>Acompañamiento día de la familia</t>
  </si>
  <si>
    <t>Ana Maria Mesa</t>
  </si>
  <si>
    <t>Obander Jaramillo</t>
  </si>
  <si>
    <t xml:space="preserve">Capacitar a los alumnos sobre la importancia que tenemos como diferentes actores viales grado 6 </t>
  </si>
  <si>
    <t>Jhon Miranda</t>
  </si>
  <si>
    <t>Capacitar a los alumnos sobre la importancia que tenemos como diferentes actores viales grado 7-8</t>
  </si>
  <si>
    <t xml:space="preserve">Capacitar a los alumnos sobre la importancia que tenemos como diferentes actores viales grado 10 </t>
  </si>
  <si>
    <t>Capacitar a los alumnos sobre la importancia que tenemos como diferentes actores viales grado 11</t>
  </si>
  <si>
    <t>JUN</t>
  </si>
  <si>
    <t>Capacitar a los alumnos sobre la importancia que tenemos como diferentes actores viales grados cuarto</t>
  </si>
  <si>
    <t>Sandra naranjo</t>
  </si>
  <si>
    <t>Estudiantes Pre jardin, jardin, transicion, primero, segundo y tercero</t>
  </si>
  <si>
    <t>COLEGIO FRANCISCANO PALERMO DE SAN JOSÉ</t>
  </si>
  <si>
    <t>Olga Luz Barrera</t>
  </si>
  <si>
    <t>ESCUELA DE PADRES</t>
  </si>
  <si>
    <t>Miguel Florez</t>
  </si>
  <si>
    <t>Camilo Arango y Edison Sanchez</t>
  </si>
  <si>
    <t>Roberto Higuera</t>
  </si>
  <si>
    <t>Conductores en general</t>
  </si>
  <si>
    <t>Capacitacion personal de conductores y plata administrativa de la empresa ASHE</t>
  </si>
  <si>
    <t>ASHE</t>
  </si>
  <si>
    <t>Jhoana Trujillo</t>
  </si>
  <si>
    <t>6.173125983893078,-75.58883703042495</t>
  </si>
  <si>
    <t>Capacitacion en educacion y seguridad vial empresa logiman</t>
  </si>
  <si>
    <t>Logiman</t>
  </si>
  <si>
    <t>Diego Torres</t>
  </si>
  <si>
    <t>Cambiaton de cascos y taller preventivo del funcionamiento del sistema de frenos para motocicletas</t>
  </si>
  <si>
    <t>Secretaria de Movilidad</t>
  </si>
  <si>
    <t>Jose Miguel Arbelaez</t>
  </si>
  <si>
    <t>Campaña de seguridad vial en HACIENDA, TESORERIA, ALCALDIA, PLANEACION, TALENTO HUMANO y Concejo Municipal con la campaña del Perfecto Egoista</t>
  </si>
  <si>
    <t>Palacio Municipal</t>
  </si>
  <si>
    <t>Campaña de seguridad vial en Oficina Juridica, despacho de secreatria de seguridad y convivencia, con la campaña del Perfecto Egoista</t>
  </si>
  <si>
    <t>Jeisson Felipe Zuluaga</t>
  </si>
  <si>
    <t>Campaña de seguridad vial en Comisarias e inspecciones, con la campaña del Perfecto Egoista</t>
  </si>
  <si>
    <t>Comisarías</t>
  </si>
  <si>
    <t>Campaña de seguridad vial en oficinas edificio murano, con la campaña del Perfecto Egoista</t>
  </si>
  <si>
    <t>Edificio Murano</t>
  </si>
  <si>
    <t>El dorado</t>
  </si>
  <si>
    <t>6.165060, -75.590946</t>
  </si>
  <si>
    <t>Campaña de seguridad vial en secretaria de bienestar social, sisben, casa de la juventud, oficina de la mujer, discapacidad, con la campaña del Perfecto Egoista</t>
  </si>
  <si>
    <t>Binestar Social</t>
  </si>
  <si>
    <t>Campaña de seguridad vial en personeria y con la campaña del Perfecto Egoista</t>
  </si>
  <si>
    <t>Personería de Envigado</t>
  </si>
  <si>
    <t>Campaña de seguridad vial en contraloria  y con la campaña del Perfecto Egoista</t>
  </si>
  <si>
    <t>Contraloría</t>
  </si>
  <si>
    <t>Campaña de seguridad vial en Secretaria de salud y con la campaña del Perfecto Egoista</t>
  </si>
  <si>
    <t>Secretaría de Salud</t>
  </si>
  <si>
    <t>Campaña de seguridad vial en la oficina de proyectos y con la campaña del Perfecto Egoista</t>
  </si>
  <si>
    <t>Oficina de Proyectos</t>
  </si>
  <si>
    <t>Campaña de seguridad vial en la direccionde seguridad y comprtamiento de transito y con la campaña del Perfecto Egoista</t>
  </si>
  <si>
    <t>Capacitacion a escuela de padres del CDI el dorado, con el tema de la transverzalicion de las areas del conocimiento con movilidad.</t>
  </si>
  <si>
    <t>CDI EL DORADO</t>
  </si>
  <si>
    <t>Soraida Guzman</t>
  </si>
  <si>
    <t>CENTRO DE EDUCACIÓN VIAL</t>
  </si>
  <si>
    <t>Indira Palacios</t>
  </si>
  <si>
    <t>JUL</t>
  </si>
  <si>
    <t>Capacitacion con los docentes I.E EL SALADO, sobre la transversalizacion de educacion vial con las diferentes areas del conocimiento al igual que las actividades con los alumnos.</t>
  </si>
  <si>
    <t>I.E EL SALADO</t>
  </si>
  <si>
    <t>Luisa Fernanda Espejo</t>
  </si>
  <si>
    <t>Felipe Quintero</t>
  </si>
  <si>
    <t>Capacitacion con los docentes I.E Dario de Bedut, sobre la transversalizacion de educacion vial con las diferentes areas del conocimiento al igual que las actividades con los alumnos.</t>
  </si>
  <si>
    <t>I.E DARIO DE BEDOUT</t>
  </si>
  <si>
    <t>Juan Carlos Correa</t>
  </si>
  <si>
    <t>Realizar el respectivo seguimiento a los proyectos de educacion vial escolar y planes de movilidad escolar</t>
  </si>
  <si>
    <t>Capacitacion con los docentes I.E MUA, sobre la transversalizacion de educacion vial con las diferentes areas del conocimiento al igual que las actividades con los alumnos.</t>
  </si>
  <si>
    <t>Sandra Patricia Granda</t>
  </si>
  <si>
    <t>Programar y presentar las actividades de educacion vial para primaria y bachillerato</t>
  </si>
  <si>
    <t>COLEGIO BENEDICTINO DE SANTA MARIA</t>
  </si>
  <si>
    <t>Jannet Galeano</t>
  </si>
  <si>
    <t>Coordinar evento del dia de la familia por parte de la administracion en compañía de la patrulla</t>
  </si>
  <si>
    <t>PARQUE PRINCIPAL ENVIGADO</t>
  </si>
  <si>
    <t>Marla Palacio</t>
  </si>
  <si>
    <t>Conocer y respetar las normas de transito en diferentes actores viales</t>
  </si>
  <si>
    <t>Paula Torres</t>
  </si>
  <si>
    <t>Humanizar la movilidad</t>
  </si>
  <si>
    <t>Nubia sanchez</t>
  </si>
  <si>
    <t>Desfile de silleteros en el marco de los 250 años de envigado</t>
  </si>
  <si>
    <t>Raul Cardona</t>
  </si>
  <si>
    <t>Conductores de transporte público (buses)</t>
  </si>
  <si>
    <t>Humanizar la movilidad conductores empresa sotrames</t>
  </si>
  <si>
    <t>Julian Espinal</t>
  </si>
  <si>
    <t>Integrantes patrulla de trànsito</t>
  </si>
  <si>
    <t>Informar sobre las actividades de la patrulla</t>
  </si>
  <si>
    <t>Mariana Vasquez</t>
  </si>
  <si>
    <t>Estudiantes desde preescolar hasta segundo</t>
  </si>
  <si>
    <t>Capacitación en educacion y seguridad vial, Trancision y primero del I. E Dario de bedut, con el manejo correcto de semaforo y la actuacion del paeton</t>
  </si>
  <si>
    <t>Mauricio Osorio</t>
  </si>
  <si>
    <t>Capacitación en educacion y seguridad vial, segundo y tercero  del I. E Dario de bedut, con el manejo correcto de semaforo y la actuacion del paeton</t>
  </si>
  <si>
    <t>Capacitación en educacion y seguridad vial, cuarto y quinto  del I. E Dario de bedut, con el manejo correcto de semaforo y la actuacion del paeton</t>
  </si>
  <si>
    <t>Curso auxiliar de tránsito</t>
  </si>
  <si>
    <t>Saray Marulanda</t>
  </si>
  <si>
    <t>Capacitacion en transverzalicion de las ereas del conocimiento con movilidad</t>
  </si>
  <si>
    <t>Linda soaschoque</t>
  </si>
  <si>
    <t>Fabio Velez</t>
  </si>
  <si>
    <t>6.1708610333477525, -75.59076417116437</t>
  </si>
  <si>
    <t>Capacitación en educacion y seguridad vial, Trancision y primero del I. E Maria Paussepin, con el manejo correcto de semaforo y la actuacion del paeton</t>
  </si>
  <si>
    <t>Planeacion de actividades para humanizar la movilidad, empresa GTA COLOMBIA</t>
  </si>
  <si>
    <t>GTA COLOMBIA</t>
  </si>
  <si>
    <t>Kelly Pernet</t>
  </si>
  <si>
    <t>Obrero</t>
  </si>
  <si>
    <t>6.172272445442433, -75.58353817083942</t>
  </si>
  <si>
    <t>Capacitación en educacion y seguridad vial, segundo y tercero del I. E Maria Paussepin, con el manejo correcto de semaforo y la actuacion del paeton</t>
  </si>
  <si>
    <t>Creacion de la Patrulla Escolar de Tansito, Liceo Comercial</t>
  </si>
  <si>
    <t>Capacitacion humanizar la movilidad, personal en general empresa GTA COLOMBIA</t>
  </si>
  <si>
    <t>Capacitación en educacion y seguridad vial, cuarto y quinto del I. E Maria Paussepin, con el manejo correcto de semaforo y la actuacion del paeton</t>
  </si>
  <si>
    <t>Matias Vasquez</t>
  </si>
  <si>
    <t>Capacitación en educacion y seguridad vial, preescolar a segundo del I. E San Vicente, con el manejo correcto de semaforo y la actuacion del paeton</t>
  </si>
  <si>
    <t>Maria Fernanda Lopez</t>
  </si>
  <si>
    <t>Planeación de actividades de educación vial para empresas (RISKS)</t>
  </si>
  <si>
    <t>Risks</t>
  </si>
  <si>
    <t>Carolina Madrid</t>
  </si>
  <si>
    <t>6.1756228930014005, -75.58625328962546</t>
  </si>
  <si>
    <t>Estudiantes servicio social del estudiantado</t>
  </si>
  <si>
    <t>Organizar las acciones de alfabetización</t>
  </si>
  <si>
    <t>Sofia Londoño</t>
  </si>
  <si>
    <t>Sulay Urrego</t>
  </si>
  <si>
    <t>Planeación de actividades colegio La Salle de Envigado</t>
  </si>
  <si>
    <t>COLEGIO LA SALLE ENVIGADO</t>
  </si>
  <si>
    <t>Karen Motoya</t>
  </si>
  <si>
    <t>Las Orquideas</t>
  </si>
  <si>
    <t>6.180692157975999, -75.58054352031043</t>
  </si>
  <si>
    <t>Planeación de actividades colegio La Normal</t>
  </si>
  <si>
    <t>I.E NORMAL SUPERIOR DE ENVIGADO</t>
  </si>
  <si>
    <t>Maria Zapata</t>
  </si>
  <si>
    <t>6.167949328958593, -75.58180052031051</t>
  </si>
  <si>
    <t>Humanizando la Movilidad para GTA</t>
  </si>
  <si>
    <t>GTA</t>
  </si>
  <si>
    <t>Fernanda Torres</t>
  </si>
  <si>
    <t>6.172299393538254, -75.583167104968</t>
  </si>
  <si>
    <t>Capacitación en educacion y seguridad vial, tercero y cuarto del I. E San Vicente, con el manejo correcto de semaforo y la actuacion del paeton</t>
  </si>
  <si>
    <t>Susana Jaramillo</t>
  </si>
  <si>
    <t>Diana Lopez</t>
  </si>
  <si>
    <t>Blanca Castaño</t>
  </si>
  <si>
    <t>AGO</t>
  </si>
  <si>
    <t>Horas comunitarias Daniel Felipe Londoño Lopez</t>
  </si>
  <si>
    <t>Daniel Londoño</t>
  </si>
  <si>
    <t>Horas comunitarias Anderson Gomez Quistial</t>
  </si>
  <si>
    <t>Anderson Gomez</t>
  </si>
  <si>
    <t>Planeación de actividades Liceo Francisco Restrepo</t>
  </si>
  <si>
    <t>LICEO FRANCISCO RESTREPO MOLINA</t>
  </si>
  <si>
    <t>Esteban Barrientos</t>
  </si>
  <si>
    <t>6.170484, -75.585466</t>
  </si>
  <si>
    <t>Horas comunitarias Jhon Jairo Tejada</t>
  </si>
  <si>
    <t>Jhon Jairo Tejada</t>
  </si>
  <si>
    <t>Planeacion de actividades para humanizar la movilidad, empresas del Municipio Agencias de Arrendamientos</t>
  </si>
  <si>
    <t xml:space="preserve">Andrea Gonzalez </t>
  </si>
  <si>
    <t>Capacitación en educacion y seguridad vial, preescolar a segundo del I. E Jose Miguel de la Calle, con el manejo correcto de semaforo y la actuacion del paeton</t>
  </si>
  <si>
    <t>Liceth Hernandez</t>
  </si>
  <si>
    <t>Capacitación humanizando la movilidad, campaña del perfecto egoista empleados de la empresa AKT</t>
  </si>
  <si>
    <t>AKT</t>
  </si>
  <si>
    <t>Manuela Lopez</t>
  </si>
  <si>
    <t>6.179438937621785, -75.58954770065306</t>
  </si>
  <si>
    <t>Horas comunitarias Estefania Durango Gomez</t>
  </si>
  <si>
    <t>Estefania Durango Gomez</t>
  </si>
  <si>
    <t>Horas comunitarias Federico Orozco Duque</t>
  </si>
  <si>
    <t>Federico Orozco Duque</t>
  </si>
  <si>
    <t>Capacitación en educacion y seguridad vial, Jardin y transicion del I. E Jose Miguel de la Calle, con el manejo correcto de semaforo y la actuacion del paeton</t>
  </si>
  <si>
    <t>Capacitación humanizando la movilidad, campaña del perfecto egoista empleados de la empresa RISKS</t>
  </si>
  <si>
    <t>Empresa RISKS</t>
  </si>
  <si>
    <t>6.175519573984858, -75.58624248997293</t>
  </si>
  <si>
    <t>Capacitación humanizando la movilidad, campaña del perfecto egoista empleados de la empresa Arrendamientos AYURA</t>
  </si>
  <si>
    <t>Capacitación en educacion y seguridad vial, Quinto A del I. E Jose Miguel de la Calle, con el manejo correcto de semaforo y la actuacion del paeton</t>
  </si>
  <si>
    <t>Capacitación en educacion y seguridad vial, Quinto B del I. E Jose Miguel de la Calle, con el manejo correcto de semaforo y la actuacion del paeton</t>
  </si>
  <si>
    <t>Capacitación en educacion y seguridad vial, grados trancision A del I. E Jose Miguel de la Calle, con el manejo correcto de semaforo y la actuacion del paeton</t>
  </si>
  <si>
    <t>Capacitación en educacion y seguridad vial, grados trancision B del I. E Jose Miguel de la Calle, con el manejo correcto de semaforo y la actuacion del paeton</t>
  </si>
  <si>
    <t>Capacitación en educacion y seguridad vial, grados Jardin del I. E Jose Miguel de la Calle, con el manejo correcto de semaforo y la actuacion del paeton</t>
  </si>
  <si>
    <t>Capacitación humanizando la movilidad, campaña del perfecto egoista empleados de la empresa centro Oncologico de antioquia</t>
  </si>
  <si>
    <t>Centro oncologico envigado</t>
  </si>
  <si>
    <t>Yessica Caro</t>
  </si>
  <si>
    <t>6.165962794283888, -75.60065326212799</t>
  </si>
  <si>
    <t>Capacitación en educacion y seguridad vial, grados segundos A y B del I. E Jose Miguel de la Calle, con el manejo correcto de semaforo y la actuacion del paeton</t>
  </si>
  <si>
    <t>Capacitación en educacion y seguridad vial, grados terceros A Y B del I. E Jose Miguel de la Calle, con el manejo correcto de semaforo y la actuacion del paeton</t>
  </si>
  <si>
    <t>Lina cefit</t>
  </si>
  <si>
    <t>Patrulla escolar</t>
  </si>
  <si>
    <t>Capacitación en educacion y seguridad vial, PRESCOLAR PEUCHIN, con el manejo correcto de semaforo y la actuacion del paeton</t>
  </si>
  <si>
    <t>Veronica Coronado</t>
  </si>
  <si>
    <t>Capacitación en educacion y seguridad vial, grados sextos, septimos y octavos del I. E Jose Miguel de la Calle, con el manejo correcto de semaforo y la actuacion del paeton</t>
  </si>
  <si>
    <t>Capacitación en educacion y seguridad vial, grados noveno A, decimos A Y B y onces A Y B,  del I. E Jose Miguel de la Calle, con el manejo correcto de semaforo y la actuacion del paeton</t>
  </si>
  <si>
    <t>Capacitación en educacion y seguridad vial, del centro educativo mis primeros exitos, con el manejo correcto de semaforo y la actuacion del paeton</t>
  </si>
  <si>
    <t>Ana Bedoya</t>
  </si>
  <si>
    <t>Veronica Ramirez</t>
  </si>
  <si>
    <t>Capacitación en educacion y seguridad vial, bachillerato grados decimo y once del I. E La Paz, con el manejo correcto de semaforo y la actuacion del paeton</t>
  </si>
  <si>
    <t>Raul Moreno</t>
  </si>
  <si>
    <t>Taller de transversalizacion en las areas del conocimiento. Colegio la Salle</t>
  </si>
  <si>
    <t>Karen Montoya</t>
  </si>
  <si>
    <t>6.180520, -75.580212</t>
  </si>
  <si>
    <t>Festival de la bicicleta</t>
  </si>
  <si>
    <t>Capacitación en educacion y seguridad vial, preescolar y segundos del I. E Marceliano Velez, con el manejo correcto de semaforo y la actuacion del paeton</t>
  </si>
  <si>
    <t>Taller de transversalizacion en las areas del conocimiento.</t>
  </si>
  <si>
    <t>I.E LA PAZ - SEDE JHON F. KENNEDY</t>
  </si>
  <si>
    <t>Monica zuluaga</t>
  </si>
  <si>
    <t>Planeación actividades educacion vial liceo la paz</t>
  </si>
  <si>
    <t>La paz</t>
  </si>
  <si>
    <t>6.162272, -75.594035</t>
  </si>
  <si>
    <t>Informar y promover las actividades de la patrulla</t>
  </si>
  <si>
    <t>Reunion planeacion actividades educacion vial con la policia nacional envigado</t>
  </si>
  <si>
    <t>Policía Nacional Estación Envigado</t>
  </si>
  <si>
    <t>Juan David Sanchez</t>
  </si>
  <si>
    <t>6.168514703251636, -75.597894564613</t>
  </si>
  <si>
    <t>Orientación y seguimiento al Plan Estratégico de Seguridad Vial</t>
  </si>
  <si>
    <t>Seguimiento a los indicadores de gestion del PESV</t>
  </si>
  <si>
    <t>Alcaldía de Envigado</t>
  </si>
  <si>
    <t>Juan Caicedo</t>
  </si>
  <si>
    <t>Plan de formación interno</t>
  </si>
  <si>
    <t>Formaciòn de Patrulla de Trànsito</t>
  </si>
  <si>
    <t>Desarrollar actividades para la vida en compañía de la secretaria de la mujer</t>
  </si>
  <si>
    <t>Jornada de integracion con las patrullas de transito de los municipios de Sabaneta, copacabana y envigado.</t>
  </si>
  <si>
    <t>Camila Mejia</t>
  </si>
  <si>
    <t>SEP</t>
  </si>
  <si>
    <t>Horas comunitarias Jhon Edison Giraldo Castaño</t>
  </si>
  <si>
    <t>Jhon Edison Castaño Giraldo</t>
  </si>
  <si>
    <t>Capacitación en educacion y seguridad vial, grados prescolar  del I. E el salado, con el manejo correcto de semaforo y la actuacion del paeton</t>
  </si>
  <si>
    <t>Capacitación en educacion y seguridad vial, grados primeros del I. E el salado, con el manejo correcto de semaforo y la actuacion del paeton</t>
  </si>
  <si>
    <t>Coordinar capacitacion para el personal de la patrulla de transito y conocer y aprender  los primeros auxilios.</t>
  </si>
  <si>
    <t>ESTACION DE BOMBEROS</t>
  </si>
  <si>
    <t>Franki fernando ARGEL</t>
  </si>
  <si>
    <t>6.166622033646286, -75.6008387</t>
  </si>
  <si>
    <t>Capacitación en educacion y seguridad vial, grados segundos del I. E el salado, con el manejo correcto de semaforo y la actuacion del paeton</t>
  </si>
  <si>
    <t>Empresa PISCINAS MG</t>
  </si>
  <si>
    <t>Yeraldin Murcia</t>
  </si>
  <si>
    <t>6.164318567414415, -75.60167235767128</t>
  </si>
  <si>
    <t>Capacitación en educacion y seguridad vial, grados terceros del I. E el salado, con el manejo correcto de semaforo y la actuacion del paeton</t>
  </si>
  <si>
    <t>Se realiza capacitación en educacion y seguridad vial, grados secundaria y padres de familia del I. E colegio la salle por medio de la emisora institucional y proyectada en cada uno de los salones de clase</t>
  </si>
  <si>
    <t>Acompañamiento a la direccion de infancia y adolesecia en la campaña en contra del maltrato infantil.</t>
  </si>
  <si>
    <t>Barrios Uribe Angel y Alto de Misael</t>
  </si>
  <si>
    <t>Jenny cuervo</t>
  </si>
  <si>
    <t>6.173225652968374, -75.57836055470489</t>
  </si>
  <si>
    <t>Diplomado de liderazgo con I.U.E, Dirigido a personal de la patrulla, comprendido entre las edades de 8 a 17 años</t>
  </si>
  <si>
    <t>Auditorio Monseñor Sierra</t>
  </si>
  <si>
    <t>6.170818366664382, -75.59079635767128</t>
  </si>
  <si>
    <t>Capacitación en educacion y seguridad vial, grados cuartos del I. E el salado, con el manejo correcto de semaforo y la actuacion del paeton</t>
  </si>
  <si>
    <t>Capacitacion a escuela de padres del I.E JFK, con el tema de humanizar la movilidad.</t>
  </si>
  <si>
    <t>Horas Comunitarias del señor Bernanrdo Alonso Jaramillo</t>
  </si>
  <si>
    <t>Bernardo Alonso Jaramillo</t>
  </si>
  <si>
    <t>Planeacion actividades educacion vial empresa AP3-CARNES</t>
  </si>
  <si>
    <t>Empresa AP3 CARNES</t>
  </si>
  <si>
    <t>Valentina Restrepo Velez</t>
  </si>
  <si>
    <t>6.169739166898166, -75.58507754232872</t>
  </si>
  <si>
    <t>Empresa Arrendaminetos envigado</t>
  </si>
  <si>
    <t>Carlos Cardona</t>
  </si>
  <si>
    <t>6.169444846071005, -75.58833680946192</t>
  </si>
  <si>
    <t>Ensayo de ceremonia</t>
  </si>
  <si>
    <t>6.172349366488406, -75.59109470037355</t>
  </si>
  <si>
    <t>Ceremonia de reconocimeoto a la patrulla de transito por su labor</t>
  </si>
  <si>
    <t>Biblioteca Debora Arango</t>
  </si>
  <si>
    <t>Jornada de educaion vial a la poblacion en general sector el señorial, barrio la loma del Barro, lorando impactar la comunidad en el respeto por las normas y señales de transito. Acompañan los actores de la campaña El Perfecto Egoísta</t>
  </si>
  <si>
    <t>Barrio Loma del Barro</t>
  </si>
  <si>
    <t>Loma del Barro</t>
  </si>
  <si>
    <t>6.15763761292176, -75.59904134362895</t>
  </si>
  <si>
    <t>Empresa AP3 CARNES envigado</t>
  </si>
  <si>
    <t>Capacitación en educacion y seguridad vial, grados segundos del I. E Jose Miguel de la Calle, grados 4to A y 4to B, con el manejo correcto de semaforo y la actuacion del paeton</t>
  </si>
  <si>
    <t>Luz elena laverde</t>
  </si>
  <si>
    <t>Capacitación en educacion y seguridad vial,  I. E PIO XII, grados de 2do a 5to de primaria, con el manejo correcto de semaforo y la actuacion del paeton</t>
  </si>
  <si>
    <t>Patricia Perez</t>
  </si>
  <si>
    <t>Capacitación en educacion y seguridad vial,  I. E Jose Miguel de la Calle, grados de 4to A y B, con el manejo correcto de semaforo y la actuacion del paeton</t>
  </si>
  <si>
    <t>Gloria Rendon</t>
  </si>
  <si>
    <t>Capacitación en educacion y seguridad vial,  I. E La Paz sede trianon, grados de 4to y trancision, con el manejo correcto de semaforo y la actuacion del paeton</t>
  </si>
  <si>
    <t>Lina Marcela Duque</t>
  </si>
  <si>
    <t>Reconocer las caracteristicas de los siniestros viales y comoi actuar ante la ocurrencia de uno, protocolo PAS</t>
  </si>
  <si>
    <t>Capacitación en educacion y seguridad vial,  Colegio Jose Maria Berrio del municipio de sabaneta, grados primaria, con el manejo correcto de semaforo y la actuacion del paeton</t>
  </si>
  <si>
    <t>Reunion con personal de la secretaria educaión donde se socializan la participación de educación víal en el festival de tejiendo sueños</t>
  </si>
  <si>
    <t>Adriana Gonzalez</t>
  </si>
  <si>
    <t>6.171440932311228, -75.59095856819565</t>
  </si>
  <si>
    <t>Evento realizado en compañía del area metropolitana con la campaña encicla, para una movilidad segura, sostenible y activa</t>
  </si>
  <si>
    <t>Se realiza formación en funciones de auxiliar de transito, con coordinacion con el CEFIT a un personal de diferentes empresas.</t>
  </si>
  <si>
    <t xml:space="preserve">Lina </t>
  </si>
  <si>
    <t xml:space="preserve">Formación en reconocer las caracteristicas de los siniestros viales, medidas de seguridad ante la señalización de intervenciones de obra en vía publica. </t>
  </si>
  <si>
    <t xml:space="preserve">Formación en reconocer las caracteristicas de los siniestros viales y movilidad segura en los desplazaminetos laborales. </t>
  </si>
  <si>
    <t>Capacitación en educacion y seguridad vial,  I.E LA PAZ SEDE JFK, grados jardin 1 y 2, importancia de las señales de transito, manejo correcto de semaforo y la actuacion del paeton.</t>
  </si>
  <si>
    <t>Natalia Duran</t>
  </si>
  <si>
    <t>Pista Itinirante, reconocer mi ciudad y las distintas señales de transito</t>
  </si>
  <si>
    <t>Ana Cristina Ramirez</t>
  </si>
  <si>
    <t>Capacitación en educacion y seguridad vial,  I.E LA PAZ SEDE JFK, grados 5to 1, 2, 3 y 4 importancia de las señales de transito, manejo correcto de semaforo y la actuacion del paeton.</t>
  </si>
  <si>
    <t>Capacitación en educacion y seguridad vial,  I.E LA PAZ SEDE JFK, grados 1ro 1, 2 y 3 importancia de las señales de transito, manejo correcto de semaforo y la actuacion del paeton.</t>
  </si>
  <si>
    <t>Capacitación en educacion y seguridad vial,  I.E LA PAZ SEDE JFK, grados 2dos 1, 2 y 3 importancia de las señales de transito, manejo correcto de semaforo y la actuacion del paeton.</t>
  </si>
  <si>
    <t>Silvia Olarte</t>
  </si>
  <si>
    <t>Encuentro de patrulleros de la region y celebracion del dia del patrullero en el municipio de copacabana.</t>
  </si>
  <si>
    <t>Lina</t>
  </si>
  <si>
    <t>Formación en educacion vial fomentando las buenas practicas que se deben tener en el antes, durante y despues en el ejercio de la actividad de conducción.</t>
  </si>
  <si>
    <t>Casa diana</t>
  </si>
  <si>
    <t>Deisy Sepuldeva</t>
  </si>
  <si>
    <t>Alto de Misael</t>
  </si>
  <si>
    <t>6.174672606053625, -75.57588269646917</t>
  </si>
  <si>
    <t>Horas Comunitarias del señor Deninson Ochoa</t>
  </si>
  <si>
    <t>Deninson Ochoa</t>
  </si>
  <si>
    <t>Capacitación en educacion y seguridad vial,  I.E LA PAZ SEDE JFK, grados terceros, importancia de las señales de transito, manejo correcto de semaforo y la actuacion del paeton.</t>
  </si>
  <si>
    <t>diana mira</t>
  </si>
  <si>
    <t>Horas Comunitarias del señor Carlos Andres Gonzalez Calle</t>
  </si>
  <si>
    <t>Cralos Andres Gonzalez Calle</t>
  </si>
  <si>
    <t>OCT</t>
  </si>
  <si>
    <t>Reunión planeación actividades con secretaria de educación, estrategia de educaión víal.</t>
  </si>
  <si>
    <t>Juliana Correa Carvajal</t>
  </si>
  <si>
    <t>Capacitación en educacion y seguridad vial,  I.E LA PAZ SEDE JFK, grados cuartos, importancia de las señales de transito, manejo correcto de semaforo y la actuacion del paeton.</t>
  </si>
  <si>
    <t>Capacitación en educacion y seguridad vial,  I.E LA PAZ SEDE JFK, grados segundos, importancia de las señales de transito, manejo correcto de semaforo y la actuacion del paeton.</t>
  </si>
  <si>
    <t>Orientaciones pedagogicas para la movilidad segura</t>
  </si>
  <si>
    <t>Educación vial para personas mayores</t>
  </si>
  <si>
    <t>Personas mayores</t>
  </si>
  <si>
    <t>Orientaciones pedagogicas para la movilidad segura, para las personas mayores</t>
  </si>
  <si>
    <t>Centro Gerontologico Atardeser</t>
  </si>
  <si>
    <t>Beatriz Tamayo</t>
  </si>
  <si>
    <t>6.169254460466737, -75.58305450445675</t>
  </si>
  <si>
    <t>Personas en situación de discapacidad</t>
  </si>
  <si>
    <t>Capacitación en educacion y seguridad vial,  I.E LA PAZ SEDE JFK, grupos PACES, importancia de las señales de transito, manejo correcto de semaforo y la actuacion del paeton.</t>
  </si>
  <si>
    <t>Capacitación en educacion y seguridad vial,  I.E LA SALLE, grados primeros, importancia de las señales de transito, manejo correcto de semaforo y la actuacion del paeton.</t>
  </si>
  <si>
    <t>Catalina Mejia</t>
  </si>
  <si>
    <t>Capacitacion Formacion bomberos</t>
  </si>
  <si>
    <t>Bomberos envigado</t>
  </si>
  <si>
    <t>6.16656869986508, -75.6008387</t>
  </si>
  <si>
    <t>Aula Abierta</t>
  </si>
  <si>
    <t>Carolina Magollon</t>
  </si>
  <si>
    <t>El Portal</t>
  </si>
  <si>
    <t>6.174189900095165, -75.59034319999999</t>
  </si>
  <si>
    <t>Reflexionar sobre la importancia de respetar los limites de velocidad</t>
  </si>
  <si>
    <t>Capacitación en educacion y seguridad vial, Centro educativo Pompitas de color sabaneta, grado jardin, importancia de las señales de transito, manejo correcto de semaforo y la actuacion del paeton.</t>
  </si>
  <si>
    <t>Yulisa Lopez</t>
  </si>
  <si>
    <t>Empresa Mago Express envigado</t>
  </si>
  <si>
    <t>6.161118733433204, -75.5999159</t>
  </si>
  <si>
    <t>Reunión planeación actividades de educaión víal.</t>
  </si>
  <si>
    <t>Empresa Salud trec envigado</t>
  </si>
  <si>
    <t>Laura Correa</t>
  </si>
  <si>
    <t>6.165445433052242, -75.6024284</t>
  </si>
  <si>
    <t>Participar en la feria ambiental, salud y bienestar con educación vial y la campaña del perfecto egoista.</t>
  </si>
  <si>
    <t>Hospital MUA</t>
  </si>
  <si>
    <t>Zona 5</t>
  </si>
  <si>
    <t>La Pradera</t>
  </si>
  <si>
    <t>6.1667519331179514, -75.5799134</t>
  </si>
  <si>
    <t>Capacitación en educacion y seguridad vial, IE LA PAZ grados  sextos a octavos, Fomentar habitos, conductas y comportamientos seguros en la vial y la actuacion del paeton.</t>
  </si>
  <si>
    <t>Ivan Lopez</t>
  </si>
  <si>
    <t>Zona 4</t>
  </si>
  <si>
    <t>Zuñiga</t>
  </si>
  <si>
    <t>6.179227, -75.575250</t>
  </si>
  <si>
    <t>Isabel Molina</t>
  </si>
  <si>
    <t>Agentes de Tránsito</t>
  </si>
  <si>
    <t>Recomendacciones en buenas practicas para una conducción segura</t>
  </si>
  <si>
    <t>Jorge Adrian Mesa Berrio</t>
  </si>
  <si>
    <t>Reunión planeación actividades con personal de administrativos colegio teresiano en estrategias de educaión víal.</t>
  </si>
  <si>
    <t>COLEGIO TERESIANO</t>
  </si>
  <si>
    <t>Diana Valencia</t>
  </si>
  <si>
    <t>Villagrande</t>
  </si>
  <si>
    <t>6.181006, -75.583458</t>
  </si>
  <si>
    <t>Empresa Salud Trec envigado</t>
  </si>
  <si>
    <t>Capacitación en educacion y seguridad vial, IE LA PAZ grados  novenos, decimos y onces, Fomentar habitos, conductas y comportamientos seguros en la via y la actuacion del paeton.</t>
  </si>
  <si>
    <t>Capacitación en educacion y seguridad vial, I.E San Rafael, grados Transión, importancia de las señales de transito, manejo correcto de semaforo y la actuacion del paeton.</t>
  </si>
  <si>
    <t>monica Arango</t>
  </si>
  <si>
    <t>Capacitación en educacion y seguridad vial, I.E San Rafael, grados segundos, importancia de las señales de transito, manejo correcto de semaforo y la actuacion del paeton.</t>
  </si>
  <si>
    <t>I.E ALEJANDRO VELEZ BARRIENTOS - SEDE ALTO DE LAS FLORES</t>
  </si>
  <si>
    <t>maria fernanda</t>
  </si>
  <si>
    <t>Capacitación en educacion y seguridad vial, I.E la paz sede el trainon, grados quintos, importancia de las señales de transito, manejo correcto de semaforo y la actuacion del paeton.</t>
  </si>
  <si>
    <t>Natalia ceballos</t>
  </si>
  <si>
    <t>6.17420056669845, -75.59034319999999</t>
  </si>
  <si>
    <t>Capacitación en educacion y seguridad vial, I.E Enrique Velez Escobar sede Arnulfo Florez itagui, grados primeros, importancia de las señales de transito, manejo correcto de semaforo y la actuacion del paeton.</t>
  </si>
  <si>
    <t>Silvia Amparo Ramirez</t>
  </si>
  <si>
    <t>Capacitación en educacion y seguridad vial, Centro Educativo EL ARCA, grados prescolar, importancia de las señales de transito, manejo correcto de semaforo y la actuacion del paeton.</t>
  </si>
  <si>
    <t>Maria Camila Mendoza</t>
  </si>
  <si>
    <t>Capacitación en educacion y seguridad vial, I.E la paz sede el trianon, grados primeros y terceros, importancia de las señales de transito, manejo correcto de semaforo y la actuacion del paeton.</t>
  </si>
  <si>
    <t>Reunion con personal de la empresa grupo BIOS, donde se planean actividades en educacón vial para el día 19 de noviembre de 2025.</t>
  </si>
  <si>
    <t>Empresa Grupo BIOS</t>
  </si>
  <si>
    <t>Milena Torres</t>
  </si>
  <si>
    <t>6.181019767371162, -75.58746147116436</t>
  </si>
  <si>
    <t>Capacitación en educacion y seguridad vial, I.E San Rafael, grados terceros, importancia de las señales de transito, manejo correcto de semaforo y la actuacion del paeton.</t>
  </si>
  <si>
    <t>Centro encuentro ciudadano el escobero</t>
  </si>
  <si>
    <t>Nora Esther</t>
  </si>
  <si>
    <t>6.162556123790092, -75.57035161506603</t>
  </si>
  <si>
    <t>Capacitación en educacion y seguridad vial, I.E San Rafael, grados cuartos, importancia de las señales de transito, manejo correcto de semaforo y la actuacion del paeton.</t>
  </si>
  <si>
    <t>Capacitación en educacion y seguridad vial, I.E MUA sede Marceliano Velez, grados cuarto 1 y Quinto 1, importancia de las señales de transito, manejo correcto de semaforo y la actuacion del paeton.</t>
  </si>
  <si>
    <t>Jaime Alonso</t>
  </si>
  <si>
    <t>NOV</t>
  </si>
  <si>
    <t>Se realizaron actividades de educaión vial en acompañamiento con la casa Movil de Justicia, en la Institución Educativa el Salado.</t>
  </si>
  <si>
    <t>Jairo Jimenez</t>
  </si>
  <si>
    <t>El Salado</t>
  </si>
  <si>
    <t>Centro encuentro ciudadano el salado</t>
  </si>
  <si>
    <t>Yuliana Henao</t>
  </si>
  <si>
    <t>6.150187234801779, -75.57739262698615</t>
  </si>
  <si>
    <t>Se realizaron actividades de educaión vial en el Instituto tecnologico de bellas artes debora arango.</t>
  </si>
  <si>
    <t>Instituto Tecnologico Bellas Artes Debora Arango</t>
  </si>
  <si>
    <t>6.171182260467559, -75.58964726822317</t>
  </si>
  <si>
    <t>Capacitación en educacion y seguridad vial, I.E MUA sede Marceliano Velez, grados cuarto y tercero, importancia de las señales de transito, manejo correcto de semaforo y la actuacion del paeton.</t>
  </si>
  <si>
    <t>Maria Eugenia</t>
  </si>
  <si>
    <t>Guillermo Pelaez</t>
  </si>
  <si>
    <t>INDICADORES DE GESTIÓN FORMACION CIUDADANA 2024</t>
  </si>
  <si>
    <t>TRIMESTRE</t>
  </si>
  <si>
    <t>PRIMER</t>
  </si>
  <si>
    <t>INDICADOR</t>
  </si>
  <si>
    <t>Variación de la Demanda</t>
  </si>
  <si>
    <t xml:space="preserve">DESCRIPCION </t>
  </si>
  <si>
    <t>Expresa la variación en la demanda de los servicios de una secretaría por parte de la comunidad respecto de un periodo a otro</t>
  </si>
  <si>
    <t>FORMULA</t>
  </si>
  <si>
    <t>(Numero solicitudes Solucionadas Periodo Actual - Numero Solicitudes Solucionadas Periodo Anterior) / Numero Solicitudes Solucionadas Periodo anterior * 100</t>
  </si>
  <si>
    <t>Suma de TOTAL SEXO</t>
  </si>
  <si>
    <t>Conductores de transporte público (taxis)</t>
  </si>
  <si>
    <t>Niños y niñas de 4 a 7 años</t>
  </si>
  <si>
    <t>Peatones</t>
  </si>
  <si>
    <t>Rectores de instituciones educativas</t>
  </si>
  <si>
    <t>Transportadores escolares</t>
  </si>
  <si>
    <t>Total general trimestre</t>
  </si>
  <si>
    <t>ABR</t>
  </si>
  <si>
    <t>OPORTUNIDAD DE SERVICIO</t>
  </si>
  <si>
    <t>Expresa la relación entre el número de solicitudes de la comunidad frente a los servicios de la secretaria que se resolvieron en el tiempo establecido en el procedimiento sobre el total de solicitudes que fueron atendidas a los usuarios</t>
  </si>
  <si>
    <t xml:space="preserve">En el PRIMER TRIMESTRE del año 2024 participaron 618 personas en las diferentes acciones de formación y cultura ciudadana para la movilidad.
En comparación al cuarto trimestre del año 2023 se tiene una reducción del 85% de paticipación  debido a diferentes situaciones entre ellas:
 - Estructuración de los indicadores de educación vial en el Plan de Desarrollo 2024-2027.
 - Inicio del contrato de prestación de servicios para el apoyo de las actividades de educación vial a partir del 19 de febnrero de 2024.
 - Inicio de las actividades de las instituciones educativas a partir del mes de febrero.
</t>
  </si>
  <si>
    <t>Numero solicitudes de los servicios resueltos a tiempo / numero de solicitudes atendidas) * 100</t>
  </si>
  <si>
    <t>TRIM IV - 2022</t>
  </si>
  <si>
    <t>TRIM I - 2023</t>
  </si>
  <si>
    <t>El 100% de las  solicitudes en el periodo, fueron resueltas en la debida oportunidad .</t>
  </si>
  <si>
    <t>TRIM II - 2023</t>
  </si>
  <si>
    <t>TRIM III - 2023</t>
  </si>
  <si>
    <t>TRIM IV - 2023</t>
  </si>
  <si>
    <t>CALIDAD EN EL SERVICIO</t>
  </si>
  <si>
    <t>TOTAL AÑO 2023</t>
  </si>
  <si>
    <t>Se define como la sumatoria del puntaje obtenido en la encuesta de satisfacción realizada a los usuarios atendidos mediante los servicios sobre el numero total de encuestas que fueron aplicadas</t>
  </si>
  <si>
    <t>% DIFERENCIA 
ENTRE 
TRIM III - TRIM IV</t>
  </si>
  <si>
    <t>Sumatoria del Puntaje Encuestas de satisfaccion / Numero Total Encuestas Aplicadas</t>
  </si>
  <si>
    <r>
      <t xml:space="preserve">Los asistentes y usuarios de los cursos de seguridad vial  en el </t>
    </r>
    <r>
      <rPr>
        <b/>
        <sz val="8"/>
        <rFont val="Arial"/>
        <family val="2"/>
      </rPr>
      <t>CUARTO TRIMESTRE</t>
    </r>
    <r>
      <rPr>
        <sz val="8"/>
        <rFont val="Arial"/>
        <family val="2"/>
      </rPr>
      <t xml:space="preserve"> del año evaluaron aspectos de Coherencia entre los objetivos del programa y el contenido de la capacitación; asertividad del mensaje según expectativas; Conveniencia de los horarios de clase, el compromiso con el cuidado propio y de los demás, el entendimiento de las normas de tránsito y la responsabilidad individual frente a la práctica de las mismas; otorgando una califcacion de con 4.9 sobre 5.0 por parte de los encuestados.</t>
    </r>
  </si>
  <si>
    <t xml:space="preserve">62 encuestas </t>
  </si>
  <si>
    <t>puntaje obtenido 305,2</t>
  </si>
  <si>
    <t>calificacion: 4,9</t>
  </si>
  <si>
    <t>Cumplimiento al plan</t>
  </si>
  <si>
    <t>Expresa la relación entre las actividades ejecutadas del plan de formación ciudadana sobre el número total de actividades planeadas</t>
  </si>
  <si>
    <t>(Actividades Ejecutadas del Plan de Desarrollo en Formación Ciudadana / Actividades Planeadas del Plan de Desarrollo de Formación Ciudadana)*100</t>
  </si>
  <si>
    <t>DATOS I TRIMESTRE DE 2024</t>
  </si>
  <si>
    <t>ACTIVIDADES FORMACION CIUDADANA PLAN DE DESARROLLO</t>
  </si>
  <si>
    <t>Unidad de medida</t>
  </si>
  <si>
    <t>Forma de acumulación</t>
  </si>
  <si>
    <t>Meta programada 2024</t>
  </si>
  <si>
    <t>EJECUTADO ACUMULADO 2023</t>
  </si>
  <si>
    <t xml:space="preserve">Centros integrales de atención implementados y operando </t>
  </si>
  <si>
    <t>Número</t>
  </si>
  <si>
    <t>Mantenimiento</t>
  </si>
  <si>
    <t>Zonas impactadas con cultura ciudadana para la movilidad</t>
  </si>
  <si>
    <t>Suma</t>
  </si>
  <si>
    <t>Docentes de educación primaria capacitados en el fortalecimiento de las competencias en seguridad vial</t>
  </si>
  <si>
    <t>Docentes de educación secundaria capacitados en el fortalecimiento de las competencias en seguridad vial</t>
  </si>
  <si>
    <t>Instituciones educativas oficiales con proyecto de formación en seguridad vial implementado</t>
  </si>
  <si>
    <t>Estudiantes de las instituciones educativas oficiales beneficiados con los cursos de formación en seguridad vial</t>
  </si>
  <si>
    <t>EL CUMPLIMIENTO DEL PLAN SE DIO ACORDE A LO PROGRAMADO, SUPERANDO EL 100%</t>
  </si>
  <si>
    <t>CORTE: 31 DE MAYO DE 2023</t>
  </si>
  <si>
    <t>(Todas)</t>
  </si>
  <si>
    <t>ZONAS</t>
  </si>
  <si>
    <t>ACCIONES</t>
  </si>
  <si>
    <t>Evento Secretaría de Movilidad</t>
  </si>
  <si>
    <t>Representación en Comités del municipio</t>
  </si>
  <si>
    <t>Total general</t>
  </si>
  <si>
    <t xml:space="preserve">Zona 6 </t>
  </si>
  <si>
    <t>INFORMACIÓN INSTITUCIONES EDUCATIVAS</t>
  </si>
  <si>
    <t>INSTITUCIONES EDUCATIVAS</t>
  </si>
  <si>
    <t>COLEGIO COLOMBO BRITÁNICO</t>
  </si>
  <si>
    <t>Secretaría de Educación</t>
  </si>
  <si>
    <t>GIMNASIO CANTARES</t>
  </si>
  <si>
    <t>COLEGIO INTEGRADO LAURELES</t>
  </si>
  <si>
    <t>CDI TEJIENDO SUEÑOS COMETAS</t>
  </si>
  <si>
    <t>CORPORACIÓN CREAR UNIDOS</t>
  </si>
  <si>
    <t>INFORMACIÓN EMPRESAS FORMACIÓN INTERNA</t>
  </si>
  <si>
    <t>INFORMACIÓN EMPRESAS</t>
  </si>
  <si>
    <t>EMPRESAS</t>
  </si>
  <si>
    <t>Bienes y bienes</t>
  </si>
  <si>
    <t>Construgen</t>
  </si>
  <si>
    <t>Consorcio Nuevo Palacio</t>
  </si>
  <si>
    <t>Solidrill SAS</t>
  </si>
  <si>
    <t>Amigos del Barrio</t>
  </si>
  <si>
    <t>Terrbus</t>
  </si>
  <si>
    <t>Haceb</t>
  </si>
  <si>
    <t>Policía Nacional</t>
  </si>
  <si>
    <t>Constructora Nazareth</t>
  </si>
  <si>
    <t>Soteco</t>
  </si>
  <si>
    <t>Mattur</t>
  </si>
  <si>
    <t>INFORMACIÓN EXPERIENCIAS CIUDADANAS</t>
  </si>
  <si>
    <t>EXPERIENCIAS CIUDADANAS</t>
  </si>
  <si>
    <t>Motodestrezas. Orientación práctica sobre habilidades y destrezas en motocicleta</t>
  </si>
  <si>
    <t>Pista itinerante de educación vial</t>
  </si>
  <si>
    <t>Conversatorio en Movilidad Segura con enfoque de Género</t>
  </si>
  <si>
    <t>PATRULLA DE TRÁNSITO</t>
  </si>
  <si>
    <t>Campaña en vía</t>
  </si>
  <si>
    <t>Conversatorio en Movilidad Segura</t>
  </si>
  <si>
    <t>Presentación proyecto de educación vial</t>
  </si>
  <si>
    <t>V Foro Departamental “Expectativas y retos del transporte”</t>
  </si>
  <si>
    <t>BARRIOS</t>
  </si>
  <si>
    <t>Alcalá</t>
  </si>
  <si>
    <t>El Dorado</t>
  </si>
  <si>
    <t>La Inmaculada</t>
  </si>
  <si>
    <t xml:space="preserve">La Paz </t>
  </si>
  <si>
    <t>San José</t>
  </si>
  <si>
    <t>Vegas</t>
  </si>
  <si>
    <t xml:space="preserve"> Vegas</t>
  </si>
  <si>
    <t>Vereda El Escobero</t>
  </si>
  <si>
    <t>La Sebastina</t>
  </si>
  <si>
    <t>El Esmeraldal</t>
  </si>
  <si>
    <t>ÁREAS DE EDUCACIÓN VIAL</t>
  </si>
  <si>
    <t>TIPO DE INTERVENCIÓN</t>
  </si>
  <si>
    <t>TIPO DE EVIDENCIA</t>
  </si>
  <si>
    <t>AÑO</t>
  </si>
  <si>
    <t>DÍA</t>
  </si>
  <si>
    <t>NOMBRE IE</t>
  </si>
  <si>
    <t>Listado de asistencia y fotografías</t>
  </si>
  <si>
    <t>N.A.</t>
  </si>
  <si>
    <t>UNIDAD EDUCATIVA SAN MARCOS</t>
  </si>
  <si>
    <t>6.176335, -75.586429</t>
  </si>
  <si>
    <t>Evaluación y listado de asistencia</t>
  </si>
  <si>
    <t>Atención a padres de familia patrulleros nuevos</t>
  </si>
  <si>
    <t>Fotografías</t>
  </si>
  <si>
    <t>LICEO FRANCES</t>
  </si>
  <si>
    <t>6.135196, -75.527939</t>
  </si>
  <si>
    <t>Certificado de participación</t>
  </si>
  <si>
    <t>I.E SAN VICENTE DE PAUL - SEDE RURAL LA MORENA</t>
  </si>
  <si>
    <t>6.167355, -75.565197</t>
  </si>
  <si>
    <t>Loma del Atravesado</t>
  </si>
  <si>
    <t>Ciclopaseo</t>
  </si>
  <si>
    <t>Acta de reunión y fotografía</t>
  </si>
  <si>
    <t>6.166862, -75.578916</t>
  </si>
  <si>
    <t>Video de formación virtual</t>
  </si>
  <si>
    <t>I.E MARTIN EDUARDO RIOS - SEDE LA CRUZ DEL PORVENIR</t>
  </si>
  <si>
    <t>6.189958, -75.503116</t>
  </si>
  <si>
    <t>Vereda Perico</t>
  </si>
  <si>
    <t>Convocatoria nuevos patrulleros</t>
  </si>
  <si>
    <t>Reunión virtual</t>
  </si>
  <si>
    <t>Diálogos de movilidad segura y sostenible</t>
  </si>
  <si>
    <t>Fotografías e informe de entidad</t>
  </si>
  <si>
    <t>Evento de ciudad con motociclistas que practican stunt</t>
  </si>
  <si>
    <t>I.E LA PAZ - SEDE EL TRIANON</t>
  </si>
  <si>
    <t>6.157702, -75.591316</t>
  </si>
  <si>
    <t>El Trianón</t>
  </si>
  <si>
    <t>DIC</t>
  </si>
  <si>
    <t>Zona 11</t>
  </si>
  <si>
    <t>Empleados de empresas contratistas de obras</t>
  </si>
  <si>
    <t>Empleados de empresas de transporte del municipio</t>
  </si>
  <si>
    <t>Equipo de educación vial</t>
  </si>
  <si>
    <t>Formación virtual en movilidad segura y sostenible</t>
  </si>
  <si>
    <t>General</t>
  </si>
  <si>
    <t>Inducción PESV servidores de la Alcaldía</t>
  </si>
  <si>
    <t>6.167036, -75.581651</t>
  </si>
  <si>
    <t>6.167951, -75.578449</t>
  </si>
  <si>
    <t>I.E COMERCIAL DE ENVIGADO - SEDE SAN RAFAEL</t>
  </si>
  <si>
    <t>6.157436, -75.583077</t>
  </si>
  <si>
    <t>San Rafael</t>
  </si>
  <si>
    <t>Estudiantes universitarios</t>
  </si>
  <si>
    <t>Líderes y lideresas juntas de acción comunal</t>
  </si>
  <si>
    <t>Pista Itinerante de movilidad segura</t>
  </si>
  <si>
    <t>COLUMBUS SCHOOL</t>
  </si>
  <si>
    <t>6.155329, -75.541973</t>
  </si>
  <si>
    <t>Niños y niñas de 4 a 7 años en ciclovía</t>
  </si>
  <si>
    <t>Prevención de la conducción bajo los efectos del alcohol o sustancias psicoactivas.</t>
  </si>
  <si>
    <t>COLEGIO THEODORO HERTZL</t>
  </si>
  <si>
    <t>6.139760, -75.520973</t>
  </si>
  <si>
    <t xml:space="preserve">Niños y niñas de 4 a 7 años ubicados en espacios públicos Niños y niñas de 4 a 7 años ubicados en espacios públicos </t>
  </si>
  <si>
    <t>Reunión en representación de la Secretaría de Movilidad</t>
  </si>
  <si>
    <t>COLEGIO SAGRADO CORAZON MONTEMAYOR</t>
  </si>
  <si>
    <t>6.166993, -75.486025</t>
  </si>
  <si>
    <t>Pasajeros</t>
  </si>
  <si>
    <t>Sensibilización en temas de bienestar laboral</t>
  </si>
  <si>
    <t>Patrulla personas en condición de discapacidad intelectual</t>
  </si>
  <si>
    <t>Patrulla personas mayores</t>
  </si>
  <si>
    <t>Servicio Social del Estudiantado</t>
  </si>
  <si>
    <t>INSTITUCIÓN UNIVERSITARIA DE ENVIGADO</t>
  </si>
  <si>
    <t>INSTITUCION EDUCATIVA AVANZAR</t>
  </si>
  <si>
    <t>I.E. GIMNASIO INTEGRAL SANTA ANA</t>
  </si>
  <si>
    <t>6.158251, -75.588769</t>
  </si>
  <si>
    <t>Las Antillas</t>
  </si>
  <si>
    <t>COLEGIO REGGIO EMILIA</t>
  </si>
  <si>
    <t>6.161046, -75.564553</t>
  </si>
  <si>
    <t>Vereda Santa Catalina</t>
  </si>
  <si>
    <t>COLEGIO MANUEL MEJIA VALLEJO</t>
  </si>
  <si>
    <t>6.167353, -75.565105</t>
  </si>
  <si>
    <t>Las Orquídeas</t>
  </si>
  <si>
    <t>6.153116, -75.565744</t>
  </si>
  <si>
    <t>COLEGIO HONTANARES</t>
  </si>
  <si>
    <t>6.137696, -75.525990</t>
  </si>
  <si>
    <t>6.148464, -75.560687</t>
  </si>
  <si>
    <t>COLEGIO FONTÁN</t>
  </si>
  <si>
    <t>6.155537, -75.536446</t>
  </si>
  <si>
    <t>COLEGIO DE LA PRESENTACION - ENVIGADO</t>
  </si>
  <si>
    <t>6.171411, -75.588992</t>
  </si>
  <si>
    <t>COLEGIO DE CAPACITACIÓN DE ENVIGADO</t>
  </si>
  <si>
    <t>6.167655, -75.587567</t>
  </si>
  <si>
    <t>COLEGIO CUMBRES</t>
  </si>
  <si>
    <t>6.168832, -75.572212</t>
  </si>
  <si>
    <t>COLEGIO BILINGÜE LEONARDO DA VINCI</t>
  </si>
  <si>
    <t>6.154734, -75.602636</t>
  </si>
  <si>
    <t>Zúñiga</t>
  </si>
  <si>
    <t>COLEGIO ALCARAVANES</t>
  </si>
  <si>
    <t>6.150977, -75.536594</t>
  </si>
  <si>
    <t>6.173354, -75.569704</t>
  </si>
  <si>
    <t>CENTRO DE FORMACION INTEGRAL PARA EL TRABAJO - CEFIT</t>
  </si>
  <si>
    <t>6.165400, -75.583951</t>
  </si>
  <si>
    <t>ESCUELA DEBORA ARANGO</t>
  </si>
  <si>
    <t>6.167090399958145, -75.58623588625399</t>
  </si>
  <si>
    <t>UNIVERSIDAD COOPERATIVA DE COLOMBIA</t>
  </si>
  <si>
    <t>6.172712, -75.591711</t>
  </si>
  <si>
    <t>POLITECNICO INTEGRAL COLOMBIANO</t>
  </si>
  <si>
    <t>6.169898, -75.588018</t>
  </si>
  <si>
    <t>ESCUELA DE INGENIERIA DE ANTIOQUIA</t>
  </si>
  <si>
    <t>6.178671067668874, -75.579431543998</t>
  </si>
  <si>
    <t>ENSEÑAR</t>
  </si>
  <si>
    <t>6.175056681451548, -75.58510708319079</t>
  </si>
  <si>
    <t>La Magnolia</t>
  </si>
  <si>
    <t>CENTRO EDUCATIVO MARIA AUXILIADORA</t>
  </si>
  <si>
    <t>6.170926467900874, -75.58270157084603</t>
  </si>
  <si>
    <t>CENTRO EDUCATIVO MARCADORES</t>
  </si>
  <si>
    <t>6.168815, -75.582327</t>
  </si>
  <si>
    <t>CENTRO EDUCATIVO GIMNASIO MONTEALTO</t>
  </si>
  <si>
    <t>6.172975179282326, -75.59022700483855</t>
  </si>
  <si>
    <t>CENTRO EDUCATIVO DESPERTAR</t>
  </si>
  <si>
    <t>6.165673049302195, -75.58097565246419</t>
  </si>
  <si>
    <t>CENTRO EDUCATIVO RIZOS DE ORO</t>
  </si>
  <si>
    <t>6.158548, -75.592291</t>
  </si>
  <si>
    <t>CENTRO EDUCATIVO BRINCONCITOS</t>
  </si>
  <si>
    <t>Milán Vallejuelos</t>
  </si>
  <si>
    <t>CDI TEJIENDO SUEÑOS PRIMAVERA</t>
  </si>
  <si>
    <t>6.151831, -75.531652</t>
  </si>
  <si>
    <t xml:space="preserve">CDI TEJIENDO SUEÑOS PALMAS </t>
  </si>
  <si>
    <t>6.167470830652385, -75.58383417200348</t>
  </si>
  <si>
    <t>CDI TEJIENDO SUEÑOS HADAS Y GNOMOS</t>
  </si>
  <si>
    <t>6.170496, -75.578744</t>
  </si>
  <si>
    <t>6.176867777834786, -75.58328928123066</t>
  </si>
  <si>
    <t>CDI TEJIENDO SUEÑOS ANDALUCIA</t>
  </si>
  <si>
    <t>6.178209, -75.579391</t>
  </si>
  <si>
    <t>CDI LAS ORQUIDEAS</t>
  </si>
  <si>
    <t>6.162782, -75.602488</t>
  </si>
  <si>
    <t>Las Casitas</t>
  </si>
  <si>
    <t>AUTOVIAS SAS</t>
  </si>
  <si>
    <t>6.161698, -75.568434</t>
  </si>
  <si>
    <t>El Chocho</t>
  </si>
  <si>
    <t>ASPAEN PREESCOLAR CARRIZALES</t>
  </si>
  <si>
    <t>6.168677501879879, -75.58567968081475</t>
  </si>
  <si>
    <t>ANTIOQUEÑA DE ENSEÑANZA AUTOMOTRIZ- AUTOANTIOQUIA</t>
  </si>
  <si>
    <t>6.168373023900343, -75.58278841813721</t>
  </si>
  <si>
    <t>INSTITUTO TECNICO SHADDAI E.U</t>
  </si>
  <si>
    <t>6.171301975673285, -75.585758680012</t>
  </si>
  <si>
    <t>INSTITUTO DE EDUCACION PARA EL TRABAJO Y EL DESARROLLO HUMANO COMFAMA</t>
  </si>
  <si>
    <t>6.171271, -75.586156</t>
  </si>
  <si>
    <t>INSTITUTO DE CIENCIAS APLICADAS INDECAP</t>
  </si>
  <si>
    <t>6.153586, -75.578303</t>
  </si>
  <si>
    <t>HOGAR INFANTIL MICHIN</t>
  </si>
  <si>
    <t>6.168940844774231, -75.59018296525832</t>
  </si>
  <si>
    <t>HOGAR INFANTIL AYURA</t>
  </si>
  <si>
    <t>6.158750, -75.599892</t>
  </si>
  <si>
    <t>6.164682, -75.569805</t>
  </si>
  <si>
    <t>GIMNASIO CAMPESTRE MONTE SOFIA SAS</t>
  </si>
  <si>
    <t>6.158304, -75.599851</t>
  </si>
  <si>
    <t>GIMNASIO CAMPESTRE EL TESORO</t>
  </si>
  <si>
    <t>6.159622604385062, -75.60006935106206</t>
  </si>
  <si>
    <t>6.165163198833833, -75.58687524365986</t>
  </si>
  <si>
    <t>COSMOS SCHOOLS</t>
  </si>
  <si>
    <t>6.169014965241419, -75.59014050980922</t>
  </si>
  <si>
    <t>Sotrames</t>
  </si>
  <si>
    <t>Auditorio Monseñor Nelson Sierra</t>
  </si>
  <si>
    <t>6.17105303338033, -75.5907534423287</t>
  </si>
  <si>
    <t>Empresa AKT</t>
  </si>
  <si>
    <t>Las vegas</t>
  </si>
  <si>
    <t>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</si>
</sst>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;@"/>
  </numFmts>
  <fonts count="3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6100"/>
      <name val="Trebuchet MS"/>
      <family val="2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b/>
      <sz val="2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363636"/>
      <name val="Arial"/>
      <family val="2"/>
    </font>
    <font>
      <sz val="10"/>
      <color rgb="FF363636"/>
      <name val="Arial"/>
      <family val="2"/>
    </font>
    <font>
      <sz val="10"/>
      <color rgb="FF22222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rgb="FF363636"/>
      <name val="Arial"/>
      <family val="2"/>
    </font>
    <font>
      <sz val="8"/>
      <color theme="1"/>
      <name val="Arial"/>
      <family val="2"/>
    </font>
    <font>
      <sz val="8"/>
      <color rgb="FF222222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0"/>
      <name val="Calibri"/>
      <scheme val="minor"/>
    </font>
    <font>
      <sz val="8"/>
      <name val="Calibri"/>
      <family val="2"/>
      <scheme val="minor"/>
    </font>
    <font>
      <sz val="11"/>
      <color rgb="FF000000"/>
      <name val="Calibri"/>
    </font>
  </fonts>
  <fills count="2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CFDF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rgb="FFD9E1F2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8" tint="0.39997558519241921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13" fillId="0" borderId="0"/>
    <xf numFmtId="0" fontId="15" fillId="5" borderId="0" applyNumberFormat="0" applyBorder="0" applyAlignment="0" applyProtection="0"/>
    <xf numFmtId="9" fontId="15" fillId="0" borderId="0" applyFont="0" applyFill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</cellStyleXfs>
  <cellXfs count="257">
    <xf numFmtId="0" fontId="0" fillId="0" borderId="0" xfId="0"/>
    <xf numFmtId="0" fontId="0" fillId="0" borderId="0" xfId="0" applyAlignment="1">
      <alignment vertical="top"/>
    </xf>
    <xf numFmtId="0" fontId="5" fillId="0" borderId="0" xfId="0" applyFont="1"/>
    <xf numFmtId="0" fontId="4" fillId="2" borderId="1" xfId="1" applyFont="1" applyBorder="1" applyAlignment="1">
      <alignment horizontal="center"/>
    </xf>
    <xf numFmtId="0" fontId="5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6" fillId="2" borderId="1" xfId="1" applyFont="1" applyBorder="1" applyAlignment="1">
      <alignment horizontal="center" vertical="top" wrapText="1"/>
    </xf>
    <xf numFmtId="0" fontId="0" fillId="0" borderId="0" xfId="0" applyAlignment="1">
      <alignment horizontal="left"/>
    </xf>
    <xf numFmtId="0" fontId="5" fillId="0" borderId="4" xfId="0" applyFont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9" fillId="0" borderId="0" xfId="0" applyFont="1"/>
    <xf numFmtId="0" fontId="11" fillId="0" borderId="0" xfId="0" applyFont="1"/>
    <xf numFmtId="0" fontId="12" fillId="0" borderId="0" xfId="0" applyFont="1"/>
    <xf numFmtId="3" fontId="0" fillId="0" borderId="1" xfId="0" applyNumberFormat="1" applyBorder="1"/>
    <xf numFmtId="0" fontId="0" fillId="0" borderId="8" xfId="0" applyBorder="1"/>
    <xf numFmtId="0" fontId="17" fillId="9" borderId="5" xfId="6" applyBorder="1" applyAlignment="1" applyProtection="1">
      <alignment horizontal="center" vertical="top"/>
      <protection locked="0"/>
    </xf>
    <xf numFmtId="0" fontId="17" fillId="9" borderId="5" xfId="6" applyBorder="1" applyAlignment="1" applyProtection="1">
      <alignment horizontal="center" vertical="top" wrapText="1"/>
      <protection locked="0"/>
    </xf>
    <xf numFmtId="0" fontId="17" fillId="10" borderId="5" xfId="6" applyFill="1" applyBorder="1" applyAlignment="1" applyProtection="1">
      <alignment horizontal="center" vertical="top" wrapText="1"/>
      <protection locked="0"/>
    </xf>
    <xf numFmtId="0" fontId="0" fillId="0" borderId="1" xfId="3" applyFont="1" applyFill="1" applyBorder="1" applyAlignment="1" applyProtection="1">
      <alignment horizontal="left" vertical="top" wrapText="1"/>
      <protection locked="0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 wrapText="1"/>
    </xf>
    <xf numFmtId="0" fontId="2" fillId="12" borderId="0" xfId="1" applyFill="1" applyAlignment="1"/>
    <xf numFmtId="0" fontId="2" fillId="12" borderId="0" xfId="1" applyFill="1"/>
    <xf numFmtId="0" fontId="11" fillId="6" borderId="0" xfId="0" applyFont="1" applyFill="1"/>
    <xf numFmtId="0" fontId="12" fillId="6" borderId="0" xfId="0" applyFont="1" applyFill="1"/>
    <xf numFmtId="0" fontId="18" fillId="0" borderId="0" xfId="0" applyFont="1"/>
    <xf numFmtId="0" fontId="9" fillId="0" borderId="0" xfId="0" applyFont="1" applyAlignment="1">
      <alignment vertical="center" wrapText="1"/>
    </xf>
    <xf numFmtId="0" fontId="0" fillId="13" borderId="1" xfId="0" applyFill="1" applyBorder="1" applyAlignment="1">
      <alignment vertical="top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top" wrapText="1"/>
    </xf>
    <xf numFmtId="0" fontId="0" fillId="13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13" borderId="1" xfId="0" applyFill="1" applyBorder="1" applyAlignment="1">
      <alignment horizontal="left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6" fillId="14" borderId="1" xfId="0" applyFont="1" applyFill="1" applyBorder="1" applyAlignment="1">
      <alignment horizontal="center"/>
    </xf>
    <xf numFmtId="0" fontId="9" fillId="0" borderId="0" xfId="0" applyFont="1" applyAlignment="1">
      <alignment horizontal="left" vertical="top" wrapText="1"/>
    </xf>
    <xf numFmtId="9" fontId="0" fillId="0" borderId="0" xfId="4" applyFont="1"/>
    <xf numFmtId="0" fontId="16" fillId="14" borderId="1" xfId="0" applyFont="1" applyFill="1" applyBorder="1" applyAlignment="1">
      <alignment horizontal="center" vertical="top"/>
    </xf>
    <xf numFmtId="3" fontId="0" fillId="0" borderId="1" xfId="0" applyNumberForma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/>
    <xf numFmtId="0" fontId="3" fillId="0" borderId="0" xfId="0" applyFont="1" applyAlignment="1">
      <alignment horizontal="center" vertical="top" wrapText="1"/>
    </xf>
    <xf numFmtId="0" fontId="11" fillId="0" borderId="1" xfId="0" applyFont="1" applyBorder="1"/>
    <xf numFmtId="0" fontId="16" fillId="14" borderId="16" xfId="0" applyFont="1" applyFill="1" applyBorder="1" applyAlignment="1">
      <alignment horizontal="center" vertical="top"/>
    </xf>
    <xf numFmtId="3" fontId="14" fillId="0" borderId="17" xfId="0" applyNumberFormat="1" applyFont="1" applyBorder="1" applyAlignment="1">
      <alignment vertical="top"/>
    </xf>
    <xf numFmtId="0" fontId="16" fillId="14" borderId="5" xfId="0" applyFont="1" applyFill="1" applyBorder="1" applyAlignment="1">
      <alignment horizontal="center" vertical="top" wrapText="1"/>
    </xf>
    <xf numFmtId="3" fontId="0" fillId="0" borderId="5" xfId="0" applyNumberFormat="1" applyBorder="1" applyAlignment="1">
      <alignment vertical="top"/>
    </xf>
    <xf numFmtId="0" fontId="3" fillId="0" borderId="0" xfId="0" applyFont="1" applyAlignment="1">
      <alignment horizontal="left" wrapText="1"/>
    </xf>
    <xf numFmtId="0" fontId="9" fillId="0" borderId="24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24" xfId="0" applyFont="1" applyBorder="1" applyAlignment="1">
      <alignment vertical="center"/>
    </xf>
    <xf numFmtId="0" fontId="23" fillId="0" borderId="0" xfId="0" applyFont="1"/>
    <xf numFmtId="0" fontId="24" fillId="0" borderId="0" xfId="0" applyFont="1"/>
    <xf numFmtId="0" fontId="26" fillId="12" borderId="1" xfId="0" applyFont="1" applyFill="1" applyBorder="1" applyAlignment="1">
      <alignment vertical="top" wrapText="1"/>
    </xf>
    <xf numFmtId="0" fontId="27" fillId="12" borderId="1" xfId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28" fillId="0" borderId="1" xfId="2" applyFont="1" applyBorder="1" applyAlignment="1">
      <alignment horizontal="center" vertical="center" wrapText="1"/>
    </xf>
    <xf numFmtId="4" fontId="28" fillId="0" borderId="1" xfId="2" applyNumberFormat="1" applyFont="1" applyBorder="1" applyAlignment="1">
      <alignment horizontal="center" vertical="center" wrapText="1"/>
    </xf>
    <xf numFmtId="3" fontId="28" fillId="0" borderId="1" xfId="2" applyNumberFormat="1" applyFont="1" applyBorder="1" applyAlignment="1">
      <alignment horizontal="center" vertical="center" wrapText="1"/>
    </xf>
    <xf numFmtId="0" fontId="28" fillId="3" borderId="1" xfId="2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4" fillId="2" borderId="2" xfId="1" applyFont="1" applyBorder="1" applyAlignment="1">
      <alignment horizontal="center"/>
    </xf>
    <xf numFmtId="0" fontId="4" fillId="2" borderId="0" xfId="1" applyFont="1" applyBorder="1" applyAlignment="1">
      <alignment horizontal="center"/>
    </xf>
    <xf numFmtId="0" fontId="4" fillId="2" borderId="4" xfId="1" applyFont="1" applyBorder="1" applyAlignment="1">
      <alignment horizontal="center"/>
    </xf>
    <xf numFmtId="0" fontId="4" fillId="2" borderId="5" xfId="1" applyFont="1" applyBorder="1" applyAlignment="1">
      <alignment horizontal="center"/>
    </xf>
    <xf numFmtId="0" fontId="29" fillId="16" borderId="2" xfId="0" applyFont="1" applyFill="1" applyBorder="1" applyAlignment="1">
      <alignment horizontal="center"/>
    </xf>
    <xf numFmtId="0" fontId="29" fillId="16" borderId="1" xfId="0" applyFont="1" applyFill="1" applyBorder="1" applyAlignment="1">
      <alignment horizontal="center"/>
    </xf>
    <xf numFmtId="0" fontId="5" fillId="0" borderId="7" xfId="0" applyFont="1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30" fillId="0" borderId="1" xfId="0" applyFont="1" applyBorder="1"/>
    <xf numFmtId="0" fontId="5" fillId="0" borderId="8" xfId="0" applyFont="1" applyBorder="1" applyAlignment="1">
      <alignment vertical="top"/>
    </xf>
    <xf numFmtId="0" fontId="5" fillId="0" borderId="8" xfId="0" applyFont="1" applyBorder="1"/>
    <xf numFmtId="0" fontId="30" fillId="0" borderId="1" xfId="0" applyFont="1" applyBorder="1" applyAlignment="1">
      <alignment horizontal="center" vertical="top"/>
    </xf>
    <xf numFmtId="0" fontId="0" fillId="0" borderId="1" xfId="0" pivotButton="1" applyBorder="1" applyAlignment="1">
      <alignment vertical="top"/>
    </xf>
    <xf numFmtId="0" fontId="0" fillId="0" borderId="1" xfId="0" pivotButton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19" borderId="1" xfId="0" applyNumberFormat="1" applyFill="1" applyBorder="1"/>
    <xf numFmtId="0" fontId="0" fillId="17" borderId="1" xfId="0" applyFill="1" applyBorder="1" applyAlignment="1">
      <alignment horizontal="left"/>
    </xf>
    <xf numFmtId="3" fontId="0" fillId="17" borderId="1" xfId="0" applyNumberFormat="1" applyFill="1" applyBorder="1"/>
    <xf numFmtId="0" fontId="0" fillId="4" borderId="1" xfId="0" applyFill="1" applyBorder="1" applyAlignment="1">
      <alignment horizontal="left"/>
    </xf>
    <xf numFmtId="3" fontId="0" fillId="4" borderId="1" xfId="0" applyNumberFormat="1" applyFill="1" applyBorder="1"/>
    <xf numFmtId="3" fontId="0" fillId="0" borderId="0" xfId="0" applyNumberFormat="1"/>
    <xf numFmtId="0" fontId="14" fillId="18" borderId="0" xfId="0" applyFont="1" applyFill="1"/>
    <xf numFmtId="0" fontId="0" fillId="0" borderId="1" xfId="0" pivotButton="1" applyBorder="1" applyAlignment="1">
      <alignment vertical="center"/>
    </xf>
    <xf numFmtId="0" fontId="0" fillId="0" borderId="8" xfId="0" applyBorder="1" applyAlignment="1">
      <alignment vertical="top"/>
    </xf>
    <xf numFmtId="0" fontId="15" fillId="0" borderId="0" xfId="0" applyFont="1" applyAlignment="1">
      <alignment horizontal="center" vertical="top"/>
    </xf>
    <xf numFmtId="0" fontId="17" fillId="9" borderId="9" xfId="6" applyBorder="1" applyAlignment="1" applyProtection="1">
      <alignment horizontal="center" vertical="top"/>
      <protection locked="0"/>
    </xf>
    <xf numFmtId="0" fontId="17" fillId="8" borderId="4" xfId="5" applyBorder="1" applyAlignment="1" applyProtection="1">
      <alignment horizontal="center" vertical="top"/>
      <protection locked="0"/>
    </xf>
    <xf numFmtId="0" fontId="17" fillId="8" borderId="5" xfId="5" applyBorder="1" applyAlignment="1" applyProtection="1">
      <alignment horizontal="center" vertical="top"/>
      <protection locked="0"/>
    </xf>
    <xf numFmtId="0" fontId="16" fillId="11" borderId="5" xfId="5" applyFont="1" applyFill="1" applyBorder="1" applyAlignment="1" applyProtection="1">
      <alignment horizontal="center" vertical="top"/>
      <protection locked="0"/>
    </xf>
    <xf numFmtId="0" fontId="17" fillId="9" borderId="6" xfId="6" applyBorder="1" applyAlignment="1" applyProtection="1">
      <alignment horizontal="center" vertical="top"/>
      <protection locked="0"/>
    </xf>
    <xf numFmtId="164" fontId="15" fillId="0" borderId="10" xfId="3" applyNumberFormat="1" applyFill="1" applyBorder="1" applyAlignment="1" applyProtection="1">
      <alignment horizontal="center" vertical="top"/>
      <protection locked="0"/>
    </xf>
    <xf numFmtId="164" fontId="0" fillId="0" borderId="10" xfId="3" applyNumberFormat="1" applyFont="1" applyFill="1" applyBorder="1" applyAlignment="1" applyProtection="1">
      <alignment horizontal="center" vertical="top"/>
      <protection locked="0"/>
    </xf>
    <xf numFmtId="0" fontId="15" fillId="0" borderId="1" xfId="3" applyFill="1" applyBorder="1" applyAlignment="1" applyProtection="1">
      <alignment horizontal="left" vertical="top"/>
      <protection locked="0"/>
    </xf>
    <xf numFmtId="0" fontId="0" fillId="0" borderId="1" xfId="3" applyFont="1" applyFill="1" applyBorder="1" applyAlignment="1" applyProtection="1">
      <alignment horizontal="left" vertical="top"/>
      <protection locked="0"/>
    </xf>
    <xf numFmtId="0" fontId="15" fillId="0" borderId="1" xfId="3" applyFill="1" applyBorder="1" applyAlignment="1" applyProtection="1">
      <alignment horizontal="center" vertical="top"/>
      <protection locked="0"/>
    </xf>
    <xf numFmtId="0" fontId="17" fillId="20" borderId="28" xfId="3" applyFont="1" applyFill="1" applyBorder="1" applyAlignment="1" applyProtection="1">
      <alignment horizontal="center" vertical="top"/>
    </xf>
    <xf numFmtId="0" fontId="15" fillId="0" borderId="10" xfId="3" applyFill="1" applyBorder="1" applyAlignment="1" applyProtection="1">
      <alignment horizontal="center" vertical="top"/>
      <protection locked="0"/>
    </xf>
    <xf numFmtId="0" fontId="31" fillId="20" borderId="1" xfId="3" applyNumberFormat="1" applyFont="1" applyFill="1" applyBorder="1" applyAlignment="1" applyProtection="1">
      <alignment horizontal="center" vertical="top"/>
    </xf>
    <xf numFmtId="0" fontId="15" fillId="21" borderId="1" xfId="3" applyFill="1" applyBorder="1" applyAlignment="1" applyProtection="1">
      <alignment horizontal="center" vertical="top"/>
    </xf>
    <xf numFmtId="0" fontId="15" fillId="0" borderId="3" xfId="3" applyFill="1" applyBorder="1" applyAlignment="1" applyProtection="1">
      <alignment horizontal="left" vertical="top"/>
    </xf>
    <xf numFmtId="0" fontId="31" fillId="20" borderId="28" xfId="3" applyNumberFormat="1" applyFont="1" applyFill="1" applyBorder="1" applyAlignment="1" applyProtection="1">
      <alignment horizontal="center" vertical="top"/>
    </xf>
    <xf numFmtId="0" fontId="15" fillId="0" borderId="10" xfId="3" applyNumberFormat="1" applyFill="1" applyBorder="1" applyAlignment="1" applyProtection="1">
      <alignment horizontal="center" vertical="top"/>
      <protection locked="0"/>
    </xf>
    <xf numFmtId="0" fontId="15" fillId="0" borderId="3" xfId="3" applyNumberFormat="1" applyFill="1" applyBorder="1" applyAlignment="1" applyProtection="1">
      <alignment horizontal="left" vertical="top"/>
    </xf>
    <xf numFmtId="0" fontId="15" fillId="0" borderId="25" xfId="3" applyFill="1" applyBorder="1" applyAlignment="1" applyProtection="1">
      <alignment horizontal="center" vertical="top"/>
      <protection locked="0"/>
    </xf>
    <xf numFmtId="0" fontId="15" fillId="0" borderId="26" xfId="3" applyFill="1" applyBorder="1" applyAlignment="1" applyProtection="1">
      <alignment horizontal="center" vertical="top"/>
      <protection locked="0"/>
    </xf>
    <xf numFmtId="0" fontId="15" fillId="0" borderId="27" xfId="3" applyNumberFormat="1" applyFill="1" applyBorder="1" applyAlignment="1" applyProtection="1">
      <alignment horizontal="left" vertical="top"/>
    </xf>
    <xf numFmtId="0" fontId="15" fillId="21" borderId="1" xfId="3" applyNumberFormat="1" applyFill="1" applyBorder="1" applyAlignment="1" applyProtection="1">
      <alignment horizontal="center" vertical="top"/>
    </xf>
    <xf numFmtId="0" fontId="0" fillId="0" borderId="1" xfId="3" applyFont="1" applyFill="1" applyBorder="1" applyAlignment="1" applyProtection="1">
      <alignment horizontal="center" vertical="top"/>
      <protection locked="0"/>
    </xf>
    <xf numFmtId="0" fontId="15" fillId="0" borderId="1" xfId="3" applyNumberFormat="1" applyFill="1" applyBorder="1" applyAlignment="1" applyProtection="1">
      <alignment horizontal="center" vertical="top"/>
    </xf>
    <xf numFmtId="0" fontId="15" fillId="0" borderId="1" xfId="3" applyFill="1" applyBorder="1" applyAlignment="1" applyProtection="1">
      <alignment horizontal="left" vertical="top" wrapText="1"/>
      <protection locked="0"/>
    </xf>
    <xf numFmtId="0" fontId="0" fillId="0" borderId="8" xfId="0" applyBorder="1" applyAlignment="1">
      <alignment wrapText="1"/>
    </xf>
    <xf numFmtId="0" fontId="15" fillId="0" borderId="5" xfId="3" applyFill="1" applyBorder="1" applyAlignment="1" applyProtection="1">
      <alignment horizontal="center" vertical="top"/>
      <protection locked="0"/>
    </xf>
    <xf numFmtId="0" fontId="17" fillId="9" borderId="5" xfId="6" applyBorder="1" applyAlignment="1" applyProtection="1">
      <alignment vertical="top"/>
      <protection locked="0"/>
    </xf>
    <xf numFmtId="0" fontId="15" fillId="0" borderId="1" xfId="3" applyFill="1" applyBorder="1" applyAlignment="1" applyProtection="1">
      <alignment vertical="top"/>
      <protection locked="0"/>
    </xf>
    <xf numFmtId="0" fontId="30" fillId="0" borderId="1" xfId="0" applyFont="1" applyBorder="1" applyAlignment="1">
      <alignment vertical="top"/>
    </xf>
    <xf numFmtId="0" fontId="0" fillId="0" borderId="7" xfId="0" applyBorder="1" applyAlignment="1">
      <alignment vertical="top"/>
    </xf>
    <xf numFmtId="14" fontId="15" fillId="0" borderId="10" xfId="3" applyNumberFormat="1" applyFill="1" applyBorder="1" applyAlignment="1" applyProtection="1">
      <alignment horizontal="center" vertical="top"/>
      <protection locked="0"/>
    </xf>
    <xf numFmtId="0" fontId="15" fillId="0" borderId="26" xfId="3" applyFill="1" applyBorder="1" applyAlignment="1" applyProtection="1">
      <alignment horizontal="left" vertical="top"/>
      <protection locked="0"/>
    </xf>
    <xf numFmtId="0" fontId="15" fillId="0" borderId="26" xfId="3" applyFill="1" applyBorder="1" applyAlignment="1" applyProtection="1">
      <alignment horizontal="left" vertical="top" wrapText="1"/>
      <protection locked="0"/>
    </xf>
    <xf numFmtId="0" fontId="31" fillId="20" borderId="29" xfId="3" applyNumberFormat="1" applyFont="1" applyFill="1" applyBorder="1" applyAlignment="1" applyProtection="1">
      <alignment horizontal="center" vertical="top"/>
    </xf>
    <xf numFmtId="0" fontId="15" fillId="0" borderId="26" xfId="3" applyNumberFormat="1" applyFill="1" applyBorder="1" applyAlignment="1" applyProtection="1">
      <alignment horizontal="center" vertical="top"/>
    </xf>
    <xf numFmtId="0" fontId="0" fillId="0" borderId="10" xfId="3" applyFont="1" applyFill="1" applyBorder="1" applyAlignment="1" applyProtection="1">
      <alignment horizontal="center" vertical="top"/>
      <protection locked="0"/>
    </xf>
    <xf numFmtId="0" fontId="17" fillId="20" borderId="28" xfId="3" applyNumberFormat="1" applyFont="1" applyFill="1" applyBorder="1" applyAlignment="1" applyProtection="1">
      <alignment horizontal="center" vertical="top"/>
    </xf>
    <xf numFmtId="0" fontId="0" fillId="0" borderId="1" xfId="3" applyNumberFormat="1" applyFont="1" applyFill="1" applyBorder="1" applyAlignment="1" applyProtection="1">
      <alignment horizontal="center" vertical="top"/>
      <protection locked="0"/>
    </xf>
    <xf numFmtId="14" fontId="0" fillId="0" borderId="10" xfId="3" applyNumberFormat="1" applyFont="1" applyFill="1" applyBorder="1" applyAlignment="1" applyProtection="1">
      <alignment horizontal="center" vertical="top"/>
      <protection locked="0"/>
    </xf>
    <xf numFmtId="0" fontId="0" fillId="0" borderId="26" xfId="3" applyFont="1" applyFill="1" applyBorder="1" applyAlignment="1" applyProtection="1">
      <alignment horizontal="left" vertical="top"/>
      <protection locked="0"/>
    </xf>
    <xf numFmtId="0" fontId="0" fillId="0" borderId="26" xfId="3" applyFont="1" applyFill="1" applyBorder="1" applyAlignment="1" applyProtection="1">
      <alignment horizontal="center" vertical="top"/>
      <protection locked="0"/>
    </xf>
    <xf numFmtId="14" fontId="0" fillId="22" borderId="30" xfId="3" applyNumberFormat="1" applyFont="1" applyFill="1" applyBorder="1" applyAlignment="1">
      <alignment horizontal="center" vertical="top"/>
    </xf>
    <xf numFmtId="0" fontId="0" fillId="0" borderId="30" xfId="3" applyFont="1" applyFill="1" applyBorder="1" applyAlignment="1">
      <alignment horizontal="center" vertical="top"/>
    </xf>
    <xf numFmtId="0" fontId="0" fillId="22" borderId="30" xfId="3" applyFont="1" applyFill="1" applyBorder="1" applyAlignment="1">
      <alignment horizontal="left" vertical="top"/>
    </xf>
    <xf numFmtId="0" fontId="0" fillId="22" borderId="30" xfId="3" applyFont="1" applyFill="1" applyBorder="1" applyAlignment="1">
      <alignment horizontal="left" vertical="top" wrapText="1"/>
    </xf>
    <xf numFmtId="0" fontId="0" fillId="0" borderId="30" xfId="3" applyFont="1" applyFill="1" applyBorder="1" applyAlignment="1">
      <alignment horizontal="left" vertical="top" wrapText="1"/>
    </xf>
    <xf numFmtId="0" fontId="0" fillId="0" borderId="30" xfId="3" applyFont="1" applyFill="1" applyBorder="1" applyAlignment="1" applyProtection="1">
      <alignment horizontal="center" vertical="top"/>
      <protection locked="0"/>
    </xf>
    <xf numFmtId="0" fontId="0" fillId="22" borderId="30" xfId="3" applyFont="1" applyFill="1" applyBorder="1" applyAlignment="1">
      <alignment horizontal="center" vertical="top"/>
    </xf>
    <xf numFmtId="0" fontId="0" fillId="0" borderId="30" xfId="0" applyBorder="1" applyAlignment="1">
      <alignment horizontal="left" vertical="top"/>
    </xf>
    <xf numFmtId="0" fontId="0" fillId="0" borderId="30" xfId="0" applyBorder="1" applyAlignment="1">
      <alignment vertical="top"/>
    </xf>
    <xf numFmtId="0" fontId="0" fillId="0" borderId="30" xfId="0" applyBorder="1" applyAlignment="1">
      <alignment horizontal="center" vertical="top"/>
    </xf>
    <xf numFmtId="0" fontId="15" fillId="0" borderId="30" xfId="0" applyFont="1" applyBorder="1" applyAlignment="1">
      <alignment horizontal="center" vertical="top"/>
    </xf>
    <xf numFmtId="14" fontId="15" fillId="0" borderId="25" xfId="3" applyNumberFormat="1" applyFill="1" applyBorder="1" applyAlignment="1" applyProtection="1">
      <alignment horizontal="center" vertical="top"/>
      <protection locked="0"/>
    </xf>
    <xf numFmtId="0" fontId="0" fillId="0" borderId="25" xfId="3" applyFont="1" applyFill="1" applyBorder="1" applyAlignment="1" applyProtection="1">
      <alignment horizontal="center" vertical="top"/>
      <protection locked="0"/>
    </xf>
    <xf numFmtId="0" fontId="0" fillId="0" borderId="26" xfId="3" applyFont="1" applyFill="1" applyBorder="1" applyAlignment="1" applyProtection="1">
      <alignment horizontal="left" vertical="top" wrapText="1"/>
      <protection locked="0"/>
    </xf>
    <xf numFmtId="14" fontId="0" fillId="22" borderId="31" xfId="3" applyNumberFormat="1" applyFont="1" applyFill="1" applyBorder="1" applyAlignment="1">
      <alignment horizontal="center" vertical="top"/>
    </xf>
    <xf numFmtId="0" fontId="0" fillId="0" borderId="31" xfId="3" applyFont="1" applyFill="1" applyBorder="1" applyAlignment="1">
      <alignment horizontal="center" vertical="top"/>
    </xf>
    <xf numFmtId="0" fontId="0" fillId="22" borderId="31" xfId="3" applyFont="1" applyFill="1" applyBorder="1" applyAlignment="1">
      <alignment horizontal="left" vertical="top"/>
    </xf>
    <xf numFmtId="0" fontId="0" fillId="22" borderId="31" xfId="3" applyFont="1" applyFill="1" applyBorder="1" applyAlignment="1">
      <alignment horizontal="left" vertical="top" wrapText="1"/>
    </xf>
    <xf numFmtId="0" fontId="0" fillId="0" borderId="31" xfId="3" applyFont="1" applyFill="1" applyBorder="1" applyAlignment="1">
      <alignment horizontal="left" vertical="top" wrapText="1"/>
    </xf>
    <xf numFmtId="0" fontId="0" fillId="0" borderId="31" xfId="3" applyFont="1" applyFill="1" applyBorder="1" applyAlignment="1" applyProtection="1">
      <alignment horizontal="left" vertical="top"/>
      <protection locked="0"/>
    </xf>
    <xf numFmtId="0" fontId="15" fillId="0" borderId="31" xfId="3" applyFill="1" applyBorder="1" applyAlignment="1" applyProtection="1">
      <alignment horizontal="center" vertical="top"/>
      <protection locked="0"/>
    </xf>
    <xf numFmtId="0" fontId="0" fillId="0" borderId="31" xfId="3" applyFont="1" applyFill="1" applyBorder="1" applyAlignment="1" applyProtection="1">
      <alignment horizontal="center" vertical="top"/>
      <protection locked="0"/>
    </xf>
    <xf numFmtId="0" fontId="0" fillId="22" borderId="31" xfId="3" applyFont="1" applyFill="1" applyBorder="1" applyAlignment="1">
      <alignment horizontal="center" vertical="top"/>
    </xf>
    <xf numFmtId="0" fontId="0" fillId="22" borderId="30" xfId="3" applyNumberFormat="1" applyFont="1" applyFill="1" applyBorder="1" applyAlignment="1">
      <alignment horizontal="center" vertical="top"/>
    </xf>
    <xf numFmtId="0" fontId="0" fillId="0" borderId="30" xfId="3" applyNumberFormat="1" applyFont="1" applyFill="1" applyBorder="1" applyAlignment="1">
      <alignment horizontal="center" vertical="top"/>
    </xf>
    <xf numFmtId="0" fontId="31" fillId="20" borderId="26" xfId="3" applyNumberFormat="1" applyFont="1" applyFill="1" applyBorder="1" applyAlignment="1" applyProtection="1">
      <alignment horizontal="center" vertical="top"/>
    </xf>
    <xf numFmtId="0" fontId="15" fillId="0" borderId="3" xfId="3" applyFill="1" applyBorder="1" applyAlignment="1" applyProtection="1">
      <alignment vertical="top"/>
      <protection locked="0"/>
    </xf>
    <xf numFmtId="0" fontId="15" fillId="0" borderId="26" xfId="3" applyFill="1" applyBorder="1" applyAlignment="1" applyProtection="1">
      <alignment vertical="top"/>
      <protection locked="0"/>
    </xf>
    <xf numFmtId="0" fontId="0" fillId="22" borderId="30" xfId="3" applyNumberFormat="1" applyFont="1" applyFill="1" applyBorder="1" applyAlignment="1">
      <alignment horizontal="left" vertical="top"/>
    </xf>
    <xf numFmtId="0" fontId="0" fillId="22" borderId="30" xfId="3" applyNumberFormat="1" applyFont="1" applyFill="1" applyBorder="1" applyAlignment="1">
      <alignment horizontal="left" vertical="top" wrapText="1"/>
    </xf>
    <xf numFmtId="0" fontId="0" fillId="0" borderId="30" xfId="3" applyNumberFormat="1" applyFont="1" applyFill="1" applyBorder="1" applyAlignment="1">
      <alignment horizontal="left" vertical="top" wrapText="1"/>
    </xf>
    <xf numFmtId="0" fontId="0" fillId="0" borderId="30" xfId="3" applyNumberFormat="1" applyFont="1" applyFill="1" applyBorder="1" applyAlignment="1" applyProtection="1">
      <alignment horizontal="left" vertical="top"/>
      <protection locked="0"/>
    </xf>
    <xf numFmtId="0" fontId="15" fillId="0" borderId="30" xfId="3" applyNumberFormat="1" applyFill="1" applyBorder="1" applyAlignment="1" applyProtection="1">
      <alignment horizontal="center" vertical="top"/>
      <protection locked="0"/>
    </xf>
    <xf numFmtId="0" fontId="0" fillId="0" borderId="30" xfId="3" applyNumberFormat="1" applyFont="1" applyFill="1" applyBorder="1" applyAlignment="1" applyProtection="1">
      <alignment horizontal="center" vertical="top"/>
      <protection locked="0"/>
    </xf>
    <xf numFmtId="0" fontId="15" fillId="0" borderId="1" xfId="3" applyNumberFormat="1" applyFill="1" applyBorder="1" applyAlignment="1" applyProtection="1">
      <alignment horizontal="center" vertical="top"/>
      <protection locked="0"/>
    </xf>
    <xf numFmtId="0" fontId="15" fillId="0" borderId="30" xfId="3" applyNumberFormat="1" applyFill="1" applyBorder="1" applyAlignment="1" applyProtection="1">
      <alignment vertical="top"/>
      <protection locked="0"/>
    </xf>
    <xf numFmtId="0" fontId="15" fillId="0" borderId="31" xfId="3" applyFill="1" applyBorder="1" applyAlignment="1" applyProtection="1">
      <alignment vertical="top"/>
      <protection locked="0"/>
    </xf>
    <xf numFmtId="0" fontId="3" fillId="22" borderId="30" xfId="3" applyFont="1" applyFill="1" applyBorder="1" applyAlignment="1">
      <alignment horizontal="left" vertical="top" wrapText="1"/>
    </xf>
    <xf numFmtId="0" fontId="5" fillId="0" borderId="4" xfId="0" applyFont="1" applyBorder="1" applyAlignment="1">
      <alignment vertical="top" wrapText="1"/>
    </xf>
    <xf numFmtId="0" fontId="5" fillId="0" borderId="26" xfId="0" applyFont="1" applyBorder="1" applyAlignment="1">
      <alignment vertical="top" wrapText="1"/>
    </xf>
    <xf numFmtId="0" fontId="5" fillId="0" borderId="30" xfId="0" applyFont="1" applyBorder="1" applyAlignment="1">
      <alignment vertical="top" wrapText="1"/>
    </xf>
    <xf numFmtId="0" fontId="5" fillId="0" borderId="31" xfId="0" applyFont="1" applyBorder="1" applyAlignment="1">
      <alignment vertical="top" wrapText="1"/>
    </xf>
    <xf numFmtId="0" fontId="30" fillId="0" borderId="7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26" xfId="0" applyFont="1" applyBorder="1" applyAlignment="1">
      <alignment vertical="top"/>
    </xf>
    <xf numFmtId="0" fontId="5" fillId="0" borderId="30" xfId="0" applyFont="1" applyBorder="1" applyAlignment="1">
      <alignment vertical="top"/>
    </xf>
    <xf numFmtId="0" fontId="5" fillId="23" borderId="30" xfId="0" applyFont="1" applyFill="1" applyBorder="1" applyAlignment="1">
      <alignment vertical="top"/>
    </xf>
    <xf numFmtId="0" fontId="0" fillId="22" borderId="30" xfId="0" applyFill="1" applyBorder="1" applyAlignment="1">
      <alignment vertical="top"/>
    </xf>
    <xf numFmtId="0" fontId="5" fillId="0" borderId="31" xfId="0" applyFont="1" applyBorder="1" applyAlignment="1">
      <alignment vertical="top"/>
    </xf>
    <xf numFmtId="0" fontId="5" fillId="23" borderId="31" xfId="0" applyFont="1" applyFill="1" applyBorder="1" applyAlignment="1">
      <alignment vertical="top"/>
    </xf>
    <xf numFmtId="0" fontId="0" fillId="22" borderId="31" xfId="0" applyFill="1" applyBorder="1" applyAlignment="1">
      <alignment vertical="top"/>
    </xf>
    <xf numFmtId="0" fontId="5" fillId="22" borderId="30" xfId="0" applyFont="1" applyFill="1" applyBorder="1" applyAlignment="1">
      <alignment vertical="top"/>
    </xf>
    <xf numFmtId="0" fontId="0" fillId="3" borderId="1" xfId="0" applyFill="1" applyBorder="1"/>
    <xf numFmtId="0" fontId="0" fillId="22" borderId="1" xfId="3" applyFont="1" applyFill="1" applyBorder="1" applyAlignment="1">
      <alignment horizontal="left" vertical="top" wrapText="1"/>
    </xf>
    <xf numFmtId="0" fontId="0" fillId="22" borderId="1" xfId="3" applyFont="1" applyFill="1" applyBorder="1" applyAlignment="1">
      <alignment horizontal="left" vertical="top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30" fillId="0" borderId="7" xfId="0" applyFont="1" applyBorder="1"/>
    <xf numFmtId="0" fontId="0" fillId="0" borderId="1" xfId="3" applyFont="1" applyFill="1" applyBorder="1" applyAlignment="1">
      <alignment horizontal="center" vertical="top"/>
    </xf>
    <xf numFmtId="14" fontId="15" fillId="3" borderId="10" xfId="3" applyNumberFormat="1" applyFill="1" applyBorder="1" applyAlignment="1" applyProtection="1">
      <alignment horizontal="center" vertical="top"/>
      <protection locked="0"/>
    </xf>
    <xf numFmtId="0" fontId="15" fillId="3" borderId="10" xfId="3" applyFill="1" applyBorder="1" applyAlignment="1" applyProtection="1">
      <alignment horizontal="center" vertical="top"/>
      <protection locked="0"/>
    </xf>
    <xf numFmtId="0" fontId="15" fillId="3" borderId="1" xfId="3" applyFill="1" applyBorder="1" applyAlignment="1" applyProtection="1">
      <alignment horizontal="left" vertical="top"/>
      <protection locked="0"/>
    </xf>
    <xf numFmtId="0" fontId="15" fillId="3" borderId="1" xfId="3" applyFill="1" applyBorder="1" applyAlignment="1" applyProtection="1">
      <alignment horizontal="left" vertical="top" wrapText="1"/>
      <protection locked="0"/>
    </xf>
    <xf numFmtId="0" fontId="15" fillId="3" borderId="1" xfId="3" applyFill="1" applyBorder="1" applyAlignment="1" applyProtection="1">
      <alignment vertical="top"/>
      <protection locked="0"/>
    </xf>
    <xf numFmtId="0" fontId="15" fillId="3" borderId="1" xfId="3" applyFill="1" applyBorder="1" applyAlignment="1" applyProtection="1">
      <alignment horizontal="center" vertical="top"/>
      <protection locked="0"/>
    </xf>
    <xf numFmtId="0" fontId="15" fillId="3" borderId="1" xfId="3" applyNumberFormat="1" applyFill="1" applyBorder="1" applyAlignment="1" applyProtection="1">
      <alignment horizontal="center" vertical="top"/>
    </xf>
    <xf numFmtId="0" fontId="15" fillId="3" borderId="3" xfId="3" applyNumberFormat="1" applyFill="1" applyBorder="1" applyAlignment="1" applyProtection="1">
      <alignment horizontal="left" vertical="top"/>
    </xf>
    <xf numFmtId="0" fontId="0" fillId="3" borderId="0" xfId="0" applyFill="1" applyAlignment="1">
      <alignment vertical="top"/>
    </xf>
    <xf numFmtId="0" fontId="0" fillId="0" borderId="26" xfId="3" applyFont="1" applyFill="1" applyBorder="1" applyAlignment="1" applyProtection="1">
      <alignment vertical="top"/>
      <protection locked="0"/>
    </xf>
    <xf numFmtId="0" fontId="0" fillId="0" borderId="1" xfId="3" applyFont="1" applyFill="1" applyBorder="1" applyAlignment="1">
      <alignment horizontal="left" vertical="top" wrapText="1"/>
    </xf>
    <xf numFmtId="0" fontId="0" fillId="22" borderId="32" xfId="3" applyFont="1" applyFill="1" applyBorder="1" applyAlignment="1">
      <alignment horizontal="left" vertical="top" wrapText="1"/>
    </xf>
    <xf numFmtId="0" fontId="33" fillId="24" borderId="1" xfId="0" applyFont="1" applyFill="1" applyBorder="1" applyAlignment="1">
      <alignment wrapText="1"/>
    </xf>
    <xf numFmtId="0" fontId="31" fillId="0" borderId="1" xfId="3" applyNumberFormat="1" applyFont="1" applyFill="1" applyBorder="1" applyAlignment="1" applyProtection="1">
      <alignment horizontal="center" vertical="top"/>
    </xf>
    <xf numFmtId="49" fontId="0" fillId="0" borderId="32" xfId="3" applyNumberFormat="1" applyFont="1" applyFill="1" applyBorder="1" applyAlignment="1">
      <alignment horizontal="center" vertical="top"/>
    </xf>
    <xf numFmtId="0" fontId="15" fillId="0" borderId="0" xfId="3" applyFill="1" applyBorder="1" applyAlignment="1" applyProtection="1">
      <alignment horizontal="center" vertical="top"/>
      <protection locked="0"/>
    </xf>
    <xf numFmtId="0" fontId="15" fillId="0" borderId="0" xfId="3" applyFill="1" applyBorder="1" applyAlignment="1" applyProtection="1">
      <alignment horizontal="left" vertical="top"/>
      <protection locked="0"/>
    </xf>
    <xf numFmtId="0" fontId="15" fillId="0" borderId="0" xfId="3" applyFill="1" applyBorder="1" applyAlignment="1" applyProtection="1">
      <alignment horizontal="left" vertical="top" wrapText="1"/>
      <protection locked="0"/>
    </xf>
    <xf numFmtId="0" fontId="15" fillId="0" borderId="0" xfId="3" applyFill="1" applyBorder="1" applyAlignment="1" applyProtection="1">
      <alignment vertical="top"/>
      <protection locked="0"/>
    </xf>
    <xf numFmtId="0" fontId="31" fillId="20" borderId="0" xfId="3" applyNumberFormat="1" applyFont="1" applyFill="1" applyBorder="1" applyAlignment="1" applyProtection="1">
      <alignment horizontal="center" vertical="top"/>
    </xf>
    <xf numFmtId="0" fontId="15" fillId="0" borderId="0" xfId="3" applyNumberFormat="1" applyFill="1" applyBorder="1" applyAlignment="1" applyProtection="1">
      <alignment horizontal="center" vertical="top"/>
    </xf>
    <xf numFmtId="0" fontId="15" fillId="0" borderId="0" xfId="3" applyNumberFormat="1" applyFill="1" applyBorder="1" applyAlignment="1" applyProtection="1">
      <alignment horizontal="left" vertical="top"/>
    </xf>
    <xf numFmtId="14" fontId="0" fillId="0" borderId="1" xfId="3" applyNumberFormat="1" applyFont="1" applyFill="1" applyBorder="1" applyAlignment="1">
      <alignment horizontal="center" vertical="top"/>
    </xf>
    <xf numFmtId="0" fontId="0" fillId="0" borderId="7" xfId="0" applyBorder="1" applyAlignment="1">
      <alignment horizontal="left" vertical="top"/>
    </xf>
    <xf numFmtId="0" fontId="20" fillId="15" borderId="1" xfId="0" applyFont="1" applyFill="1" applyBorder="1" applyAlignment="1">
      <alignment horizontal="left" vertical="center" wrapText="1"/>
    </xf>
    <xf numFmtId="0" fontId="21" fillId="7" borderId="21" xfId="0" applyFont="1" applyFill="1" applyBorder="1" applyAlignment="1">
      <alignment horizontal="left" vertical="center" wrapText="1"/>
    </xf>
    <xf numFmtId="0" fontId="21" fillId="7" borderId="22" xfId="0" applyFont="1" applyFill="1" applyBorder="1" applyAlignment="1">
      <alignment horizontal="left" vertical="center" wrapText="1"/>
    </xf>
    <xf numFmtId="0" fontId="21" fillId="7" borderId="23" xfId="0" applyFont="1" applyFill="1" applyBorder="1" applyAlignment="1">
      <alignment horizontal="left" vertical="center" wrapText="1"/>
    </xf>
    <xf numFmtId="0" fontId="12" fillId="12" borderId="0" xfId="0" applyFont="1" applyFill="1" applyAlignment="1">
      <alignment horizontal="center"/>
    </xf>
    <xf numFmtId="0" fontId="25" fillId="15" borderId="0" xfId="0" applyFont="1" applyFill="1" applyAlignment="1">
      <alignment horizontal="left" vertical="center" wrapText="1"/>
    </xf>
    <xf numFmtId="0" fontId="26" fillId="0" borderId="3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10" fillId="12" borderId="0" xfId="1" applyFont="1" applyFill="1" applyAlignment="1">
      <alignment horizontal="center" vertical="center"/>
    </xf>
    <xf numFmtId="0" fontId="11" fillId="0" borderId="1" xfId="0" applyFont="1" applyBorder="1" applyAlignment="1">
      <alignment vertical="top" wrapText="1"/>
    </xf>
    <xf numFmtId="0" fontId="9" fillId="0" borderId="11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left" vertical="top" wrapText="1"/>
    </xf>
    <xf numFmtId="0" fontId="9" fillId="0" borderId="19" xfId="0" applyFont="1" applyBorder="1" applyAlignment="1">
      <alignment horizontal="left" vertical="top" wrapText="1"/>
    </xf>
    <xf numFmtId="0" fontId="9" fillId="0" borderId="20" xfId="0" applyFont="1" applyBorder="1" applyAlignment="1">
      <alignment horizontal="left" vertical="top" wrapText="1"/>
    </xf>
    <xf numFmtId="0" fontId="12" fillId="12" borderId="3" xfId="0" applyFont="1" applyFill="1" applyBorder="1" applyAlignment="1">
      <alignment horizontal="left"/>
    </xf>
    <xf numFmtId="0" fontId="12" fillId="12" borderId="7" xfId="0" applyFont="1" applyFill="1" applyBorder="1" applyAlignment="1">
      <alignment horizontal="left"/>
    </xf>
    <xf numFmtId="0" fontId="12" fillId="12" borderId="10" xfId="0" applyFont="1" applyFill="1" applyBorder="1" applyAlignment="1">
      <alignment horizontal="left"/>
    </xf>
    <xf numFmtId="0" fontId="19" fillId="0" borderId="3" xfId="0" applyFont="1" applyBorder="1" applyAlignment="1">
      <alignment horizontal="left" wrapText="1"/>
    </xf>
    <xf numFmtId="0" fontId="19" fillId="0" borderId="7" xfId="0" applyFont="1" applyBorder="1" applyAlignment="1">
      <alignment horizontal="left" wrapText="1"/>
    </xf>
    <xf numFmtId="0" fontId="19" fillId="0" borderId="10" xfId="0" applyFont="1" applyBorder="1" applyAlignment="1">
      <alignment horizontal="left" wrapText="1"/>
    </xf>
    <xf numFmtId="0" fontId="14" fillId="18" borderId="0" xfId="0" applyFont="1" applyFill="1" applyAlignment="1">
      <alignment horizontal="center"/>
    </xf>
    <xf numFmtId="0" fontId="1" fillId="0" borderId="1" xfId="3" applyNumberFormat="1" applyFont="1" applyFill="1" applyBorder="1" applyAlignment="1" applyProtection="1">
      <alignment horizontal="center" vertical="top"/>
      <protection locked="0"/>
    </xf>
    <xf numFmtId="0" fontId="1" fillId="0" borderId="26" xfId="3" applyNumberFormat="1" applyFont="1" applyFill="1" applyBorder="1" applyAlignment="1" applyProtection="1">
      <alignment horizontal="center" vertical="top"/>
      <protection locked="0"/>
    </xf>
    <xf numFmtId="0" fontId="1" fillId="0" borderId="30" xfId="3" applyNumberFormat="1" applyFont="1" applyFill="1" applyBorder="1" applyAlignment="1" applyProtection="1">
      <alignment horizontal="center" vertical="top"/>
      <protection locked="0"/>
    </xf>
    <xf numFmtId="0" fontId="1" fillId="0" borderId="31" xfId="3" applyNumberFormat="1" applyFont="1" applyFill="1" applyBorder="1" applyAlignment="1" applyProtection="1">
      <alignment horizontal="center" vertical="top"/>
      <protection locked="0"/>
    </xf>
    <xf numFmtId="0" fontId="1" fillId="3" borderId="1" xfId="3" applyNumberFormat="1" applyFont="1" applyFill="1" applyBorder="1" applyAlignment="1" applyProtection="1">
      <alignment horizontal="center" vertical="top"/>
      <protection locked="0"/>
    </xf>
    <xf numFmtId="0" fontId="1" fillId="0" borderId="0" xfId="3" applyNumberFormat="1" applyFont="1" applyFill="1" applyBorder="1" applyAlignment="1" applyProtection="1">
      <alignment horizontal="center" vertical="top"/>
      <protection locked="0"/>
    </xf>
    <xf numFmtId="0" fontId="12" fillId="12" borderId="1" xfId="0" applyFont="1" applyFill="1" applyBorder="1" applyAlignment="1"/>
    <xf numFmtId="0" fontId="11" fillId="0" borderId="1" xfId="0" applyFont="1" applyBorder="1" applyAlignment="1"/>
  </cellXfs>
  <cellStyles count="7">
    <cellStyle name="40% - Énfasis4" xfId="3" builtinId="43"/>
    <cellStyle name="Bueno" xfId="1" builtinId="26"/>
    <cellStyle name="Énfasis4" xfId="5" builtinId="41"/>
    <cellStyle name="Énfasis5" xfId="6" builtinId="45"/>
    <cellStyle name="Normal" xfId="0" builtinId="0"/>
    <cellStyle name="Normal 2" xfId="2" xr:uid="{00000000-0005-0000-0000-000005000000}"/>
    <cellStyle name="Porcentaje" xfId="4" builtinId="5"/>
  </cellStyles>
  <dxfs count="19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6100"/>
        <name val="Trebuchet MS"/>
        <scheme val="none"/>
      </font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6100"/>
        <name val="Trebuchet MS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6100"/>
        <name val="Trebuchet MS"/>
        <scheme val="none"/>
      </font>
      <alignment horizontal="center" vertical="bottom" textRotation="0" wrapText="0" indent="0" justifyLastLine="0" shrinkToFit="0" readingOrder="0"/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6100"/>
        <name val="Trebuchet MS"/>
        <scheme val="none"/>
      </font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theme="0" tint="-0.1499984740745262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none">
          <fgColor indexed="64"/>
          <bgColor theme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theme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1" hidden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wrapText="0" indent="0" justifyLastLine="0" shrinkToFit="0" readingOrder="0"/>
      <protection locked="0" hidden="0"/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alignment wrapText="1" readingOrder="0"/>
    </dxf>
    <dxf>
      <alignment horizontal="center" readingOrder="0"/>
    </dxf>
    <dxf>
      <alignment vertic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alignment wrapText="1" readingOrder="0"/>
    </dxf>
    <dxf>
      <alignment horizontal="center" readingOrder="0"/>
    </dxf>
    <dxf>
      <alignment vertic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top" readingOrder="0"/>
    </dxf>
    <dxf>
      <alignment vertical="top" readingOrder="0"/>
    </dxf>
    <dxf>
      <alignment vertical="top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top" readingOrder="0"/>
    </dxf>
    <dxf>
      <alignment vertical="top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6</xdr:col>
      <xdr:colOff>2150269</xdr:colOff>
      <xdr:row>38</xdr:row>
      <xdr:rowOff>161925</xdr:rowOff>
    </xdr:to>
    <xdr:sp macro="" textlink="">
      <xdr:nvSpPr>
        <xdr:cNvPr id="2" name="imageSelected0" descr="data:image/png;base64,iVBORw0KGgoAAAANSUhEUgAAAlAAAAEACAYAAAB8hEgvAAAgAElEQVR4Ae29a5RdxXnnzbf5NssfLHGRWq0LLbVurZa61WoJCYQJGczFdswMAWS/kGCDExNxJHBibHN3TGwzMuAQAk5i7GUytpM4vAwZO5OZidYL9uSd1/aLhxVBPM4EbIK52oIAam7es/61z3NOnTpV9dS+nNOndf69Vq/a17r867J/56ln1z7mGP5RASpABagAFaACVIAKUAEqQAWoABWgAlSAClABKkAFqMAQKbBo0aLJ4457+27+UwNfGxiirsCiUgEqQAWoABVIV2B0dMl3Fy9elPGfGvjaQHpL4pVUgApQASpABYZIgRNXjjw8PbU2u//enfynBq02IDA1RF2BRaUCVIAKUAEqkK4AAGr3ronstWdG+E8NWm2AAJXeh3glFaACVIAKDKECLkAd+vZUywoxn1YpAbr5zMMgpH3l5Sdl/fpHeUV3AtQQDgYsMhWgAlSACqQr4AIUHtby8JzPEPnAw/z8c7cORH7mU4t+pS2aQ3dJM70l8UoqQAWoABWgAkOkQAig1q9Zmb1jet28/MvD+7ZP7eqAqPGp3dlJl342O+VDB/hfowbb/s35BpgIUEPU8VlUKkAFqAAVqKZACKCuOn0q++c1G+fl/8DJm1sWEIEo+GkBrLadd1X2ry/5Cv9r1GDq//oUAapaN+LdVIAKUAEqMGwKDCJAAdxciPrpofEMbwsuZIhaPbEtWzKyLFtx3s0DBYBbL76ZADVsHZ/lpQJUgApQgWoKDCpAAaKu2jFpHuyAJliiFjpELV+52pRn7L3XDBRAYUoUGnMKr1pf4t1UgApQASowRAoMMkABovbM5lN3eMA/+MCsgah1a1eZB/70+R8fKBDRphbXzp6RA+FFdw9UvglQQ9ThWVQqQAWoABWoR4FBBygbokZHlxqIAkhhe+nIaDZ5ya0DBSMhiBrZc6uZvgMIwhk+dN18HPcBlEBqPa2MsVABKkAFqAAVOMoU6DdAvXDj5uzV/zyRzT02ls19fzzDPiBJ+xdL1EKEqHXvuiqT6TsAFP7hDwWomg9gctP0AZQ47R9lzZ3FoQJUgApQASpQjwL9BCiAkyzUKOGRhzao8CRwtRAhav2ZH86n7TzfG4RD+SBAFAGqnr7EWKgAFaACVGCIFOgnQAGWBJwkfOnrk9nhu/L/n56zKQpThyYnspl1YwZIxBL15Tt2mf1BnM6Ds7hYnEIhLFGuRajf+wSoIerwLCoVoAJUgArUo0A/Aerl+yY7AArwJCCFcO6J5VkSRK3PIQrLGuDNPLyhB0BZvnJNtuQDX5x3IBEAAhyFwMk+Pt9v5RGg6ulLjIUKUAEqQAWGSIF+ARTAyIYl+D69dG8nQOE8rFEyZRcKjSUqAFEnrp3MTrj0nnmHqMUX3Z0ETwCp9TvfM6/5JUANUYdnUakAFaACVKAeBfoFUDYswRcKcGQfE7hKASjcO6gQBZ8nvGUH/ybbyhTbXjW+iQBVT3NmLFSAClABKkAF+qNAvwDK9n8SSHr2NzZ3WKXmfjqSYVov9c08QNT6sRUGVGQ6Tz4+PB+WKFiSYqAUOwfwkqm/foe0QPWnrzEVKkAFqAAVOIoUmA+AguVJpucAUQCql+7dlM396EQDVEeeWJ4MUd/cNpktX7akBVGwZNkQ1S8YwedZYoCUcs4stDkPi2wSoI6iDs2iUAEqQAWoQH8U6BdA2UsYYA2op07Op/EEpJ55X+4PBSsUIOjId8dbkCXXhEIbogBPNkStmz2jL5adogC1bu06L3Bhvah+QZ+kQ4DqT19jKlSAClABKnAUKdAvgPr5gc7pOgCV+8bd4T+czOaeygFq7p9WZK/+1/Q1onwQdfYZWwykTO46uy9Qok3hPfB/359958GHMoGnc848K9s6Nd0BUvPhUE6AOoo6NItCBagAFaAC/VGgXwAFixOWKRBncQmxGjn8o+Tfd41ci2sw/Qdrlc8a5UKU/fHhfkFUaOmC3SefksnfTdfdkGEfALV8dNRsI8Q035btp/UF9sT6hJAA1Z++xlSoABWgAlTgKFIgBaDgp4R/H7TIMViTADhY68m1LMk1cA4XGEoNYYnyXYt0JF47/MLsZMuig+m8fkNUCkDBEgWAQvjYoUfNNixR+D/l7IsIUEdR/2JRqAAVoAJU4ChVIAZQxmr0/fEWwMBahGP4BwzB+Rv/mJ7DMViGYEHCf8hK9Pxvb/ZaolxIOvLjtrUqBFG2M7oNUQdO3tyCqEsv2t4JUWde2lNAKQJQmMqD5QkQBZjC/rs/9Nme5s+2PMn2mkvzNauuvPykVl3zW3hHaYdnsagAFaACVKAeBWIA5Vun6chD67wABMdwQJNYmQBRgCobbOxtATBYreAPBRADXNnghXMCVi//RQ5nsi9hKA0borBSOSxR69auMmC17byregYpRQBK3swDPOEPYS8ACnnSVjtHXghQ9fQpxkIFqAAVoAJDoEAMoGyAEWCRUHyXAE5yDNcDkmQfkGRDU9FtwBHSQXwAsuc/3j0FGJtadCHqwQdmM3xDD7DQK4gKAZTAkoTi84R9G6B2vv+TtcMdAWoIOjKLSAWoABWgAv1VIAZQ7ptzAkZH/mmFWfBSrD+wHMk5WJAEvEJTbEVACvEBngxEPTaWvfxA5ydhYgCFdPoJUSF4gr+T+3/Beb/ammaEM7lM42mWIpl2KxISoPrbp5gaFaACVIAKDIECMYACIAkMCSDNPb48m3ty1ADNq3+9oeUwLtN9sDoJ8IQcvYsAFK61Ae2I5ZOFPGkAhfv3bN3YghVM59mWqOnzP16LxQfgI9YlN3ThCfsf2XelgSrxg8I9OD71rt+qJT82YBGghqAjs4hUgApQASrQXwViACWgg7fqXn5gIrOduWUbU2ywEgnk2FN68GuSOKqGiMtYoR5tTxliP/TGn5ventmJFuDcf+/OFkQtHRnN1rz/lsrQEltIU6brEMo/wAn/ePMOMAWLlFy37l31+mjhu3yaZQsARx+o/vY9pkYFqAAVoAILWIEUgBIYmftfJ2ZHnhzN5v65vdilWKNe+ZuJ1jSeWKtS4Ubi10JYtOYOdQKUdo99XiAKflCwQsEaBXAARE1ecmsliAL0uJYnex+g5FqixPqEUCxSuGdkT7W82NYnbCNOAtQC7qTMOhWgAlSACgyeAkUAykzP/SSfvsP36gSUZMpO9hHW4f9kww+2jVP537cBCtYv9xptv1cQteHUC6IAZcOUvS0WKYQAKZxzAajqPgFq8Podc0QFqAAVoAILXIEiAAU4AUQd+c56A0/GGvWPK1qfXxGAwnSfBjJlz0saCOEPVSae0zatNaBSpyUqNoUHgBFQghUK1igcAzDhDTwck/Nr1ozXClCwZiEtAF4MxHANp/AWeGdm9qkAFaACVKB/ChQFKAALLEHwe4ID99w/rmxZogRuzJIDv11tCQMfGGFKUNJAOPfomAE637WxY4cmJ7KZ9WNeiFq+ck123CV/EoWNEIjEvoUn03ey3hOABcdk/yv3fMnkZ3rmpFJp+/KEaUV8nBhpwQ9q/em/HoybANW/PseUqAAVoAJU4ChQoAxACZwAomygwfbrL1yUvfHSF8xx+CzJUgdyT5UQwGanB4ACrCEfReN1IQoLbcICA5A4ce1ktuQDXwzChg9WcCw2jWcD1HPPPmfSkWPwf7r0kg8Yy1RdALX+zA+bNFAe+z/0sWIC1FHQmVkEKkAFqAAV6J8CVQBKgGbuH8Y6ljuAVeWtue9lrz07bRbCLAM4PiCSN/0Eoo78v2sNUJXxhUL8NkRNT601q5Xj+3kCUSdcek8hiEoFKOiDNDBtB3gCUGE6D0BVB0DJtJ0NTva2z6Ec5zmF179+x5SoABWgAlRggStQB0DJCuSy1ADgyUDUG08Yi1RdU3oSvwAU9mWl8rJO63VCVFGAArTABwo+UVjGoC6Aik0lIs21s2d0gSEBaoF3ZGafClABKkAF+qtACKAuOyVtWgzWp7m/H2tN1Rm/qCeWm2k8QNQvfvFq9vqLtxhLEVY291mWUo+5AAVoMm/mNT8nAwtValz2dd/cNpktX7bEWIV8lqjQlJ17vCxAYSVy/NcFUKvGN3VM2wGO7H/jF3XR3R0QRYDqb79jalSAClABKrDAFXAB6sar87WRlo8uzQAWNmj4tsUCZE+jwdkb+6//7AoDUACpN1/+assvyhdPyjGZMhQLlPg/YYoQ2/gvu/ZUDKLWeSw2LjwV8YGCHgI0mMLDX10ABeuSxB0LAVn2elMEqAXekZl9KkAFqAAV6K8CLkABTsQPCFYZDaLgKI573M+2wDJkzj13VvbWG08YSHjzyMHWtWWcy9238ASkYJl6/rotJm6AW5m4AXA2RO3eNWF8omCRAlxM7jq7w2LjA6jxqd1BeIF1CfFgyg7/2MYxTN0Bnm667obKFqgUeILfFdLGP97Mk3Jgnz5Q/e17TI0KUAEqQAUWsAI+gCoKUbGpMzPt9ux0BnjCH2BKnMvLgI77bT6BKFifjvx/a8104ivfnDBLLMBihX9MHSKP2NYsVDZEASTxdl4KRMW+hSfAIqFADBzHAVBYwgB/VafwQh8zBqDJIp1wWEeaBKgF3GmZdSpABagAFZh/BVyAmpkYy556ZI2x5px9xhbzoE2xRMWm4LD4JkDnzVf+qjJEmelBaxV0AagiIaxUgKlQngFRAjspEAV4gjVH7tFCsUYhlEU163Ii96X9+c/danTHUgmPHXq0ZQGzv7mH+2iBmv/+yBxQASpABajAAlHABSg8SAWibOtLVYgSPyU4lOOviiUKcYUsUUVAKra8woGTN7eAqAuizry0NfWFKbDY1J0PaGyAwjb+xUKElcht3ySZYksNfemJnxVCsXjhOns5AywgSoBaIJ2W2aQCVIAKUIH5V8AHUAJRgBEbotavWWnWTgpZbrTjPojCwptl/ZYQn0zT2eHzn9icHfnxchOv5AnXir+WQNar/zn+yRkfRK1bu8qA1aZ37W1BVIrvkQ9scEzWfxKowrH1Gze34k4FJ7nOl44NUEgHFilcZ4Pa6olZAtT8d0fmgApQASpABRaKAiGAwgP2wjNzB3EbomY2rK4EUWYKDm/ovXCReUMPyxy89txZXU7oAj5lQwAVQMldHwr+UAJQCLX4bYiChebBB2YzfEMP+mw77yoDOvhEig9c7GOYqnOtTXIePlEylYdjG7fsqBWgEDem78TShW2kI9CFkAC1UHos80kFqAAVoAIDoUAIoGRdJC9ErR+rBFFwHjfLHDQhSqbz3Df5NLjRzovvlevkjrQForQ4cN6GqNs+tasLokLO2wJICMVRHNOXsAjZ59ztsgDls4TBwmX/iwM70rR9oAhQA9EdmQkqQAWoABVYKAqEAOrgNetbi0v2E6Lw1l4K1KReAyhz14ey/adS47lsZqIFPS5EbTn9gtY5F4ZkX6bRAFCyjIH4Pck1Em6eLv5B4ZAVTOBJrF+wRok1DOlt/5WGsUQBoODrJWCJZRxwfqG0Y+aTClABKkAFqEBfFQgB1Mt3L858EHXo21OtKayZHlmiYDlKBZuU62Bxwj+uhS+UQIJ8giYlDlyzZ9YPUUtH2msrCQS5oQ+gAFPwRwLkwDIkoXsv4MiebvNtw5rk3hfbF5A65eyLWgAFaBJtCFB97YZMjApQASpABRaaAjGAEoiSB7FYomw/oHdsWVcJduzpPPN23muPGosRQCcVbLTrTBqPjRl/KHv6rkwaLkTdf+9OAy7HHndsFGBCAIUyY20m+CXZFikAFe7BApurTlzT4fDtA6j1Z344mr7UoRsSoBZaj2V+qQAVoAJUYCAU0AAKEHX7Jfl6UHj4XnXJrLFS2BC1Z8emSrDTgqjmEgdYdHPusfb39TRASjkPWJp7cqRlYXGdy1PikGtsiIIOmNKDNjGIigEUFrrE/d958CEDTNjHtix4OTo6mo1vmo1aofBGXWgtKpnGQxoAM9sPigA1EN2QmaACVIAKUIGFpkAKQLkQdfvHtndD1Gx8SQCBj1DoQtQbL33BrPUUur7M8bknR02+5354YunPvUi6AlF4Iy8FomIABf8kwA2m8+AfJZYoABTuA/AsWzaaaVN5IWd28X9CGtiGxQtpYRqPALXQeizzSwWoABWgAgOhQCpA9ROiZMXy139+bVaXUznexBP/Hli3BITKhocmJ7KZdWMGfFyIOu74481xAIv8pwAUrgFAAWwQyh+gB1C1FKudX3R30BKVClBIB1ODSIMANRDdkJmgAlSAClCBhaZAEYAKQZT4AQEWYJkpCyW4z0y1PbHcfDsPa0RhvajYZ1dS0zLf5HtmxEwNYgHNKlN4kqaBqPVpEFUEoOxrAVH4/Aq0hRUKSxX4fKBwLBWgAGSwahGgFlpvZX6pABWgAlRgYBQoClAhiBI/IDzoL9tZzQEcEPXaT7aZz72YNaJ+uKPylJsAFMBJpgvd9aEEjIqEPoi68eqmT9Sxbcdy+DUBjPAvvk04hn+ZssM5QI0LUIAoHAP0jIws6/gEiw1TqQAFCxfqiQA1MN2QGaECVIAKUIGFpkAZgAJEfeis9gd3b79hp5kesyHqwGlbKluiXnt22qxWDqdy7bMrGvTICuQCTWZF9MfGMoTavdp5G6LwqRes3I41lQApo6OdHxkWWMI59x8whQU3fQAFiMK9cCgfW7vJa4XyARTukX+kZ6dPgFpovZX5pQJUgApQgYFRoCxAAaL2nNZeF+nBP5vphqiTq63nhPWgMIWHP3yEWOBHAxrfeWPVemakYzoQU4OyPpTvniLHAFGyevv01NoWRG2a2NQBUZg+c8HJ3QdIYdrO/QPwiEP5hlMv6ICoFefd7H0LD8AEixPuE5DCNtLE0gn0gRqYrsiMUAEqQAWowEJSoApA2RAFeOgFRGHqDfBkvpn35DmVpvJ8C3TiGOCqCCyFrv3mtkkVojSAkuk1AA6m+lyQwjEAEBzK5WPAsSUMkB4sWgjlX/aRBixaU+/9bfMtPC6kuZB6LvNKBagAFaAC86pAVYAKQZT4AeEhjW/JhaAj5Tg+x4JpvLdee7TyVF5KelWuCUHU+nXrVcsTtHIBC/v2H5YgEAvS+NRuY4UCQOFe3z+ADNCFUP5heRKIwjF8OgafciFAzWtXZOJUgApQASqwkBSoA6C6IOov8+k88QOqClFw+n7tBzuNUznWh6rjrbwqkKTd64Oos8/Yks1snfFCjg0+to8SjrsABZjCGk5yz9h7rzFO5bLvhogPsCT/iA8Ahn+Z3jvt37yHALWQOi3zSgWoABWgAvOvQF0A5ULUQ/d3Q9S3dpe3RBmIeuqi7BdvPZ+99qN3VZrK0wCojvM2RAEk4VgO36iTd+Zv6LmgE9sH9ACaYH2SPxzDPStWrTFrQ4VWIffFCwsU4pPpwI0btxCg5r8rMgdUgApQASqwkBSoE6B+cttoNrMxXxcJPlEuROEYwKIsoMBXCRYoTOXVtcBm2byk3Hdgtv2mog+i4CwOy5D7HTwbemApAiyJ5Qj3AH7wqRe5bv1OWJC2tfblOELchzTggC7biEMcypE2rkMceINQFhvlx4QXUi9mXqkAFaACVKDvCtQJULBC2RA1MzGWPfXIGvNQlum8qhAFp++35r6Xvf7MtbUsQeCCEJY7wErlc08sz+B7BcuXe02Rffh/CdD4IAqABEsQli+Qb+HBLwn34JxsYx/gI/84h3+JOxQKNNkAJdsCTxu37MjWn3qBiYsA1fcuyASpABWgAlRgISpQN0D1A6Je+U+7jT8UwiIwo11rf+5FQOLIQxsqpxGCqC2TOVwBigSYBKbw9h2gCn/y7TqZcvPBVBGAEh8qSXf36e8mQC3Ezss8UwEqQAWowPwp0AuA6oao1cYHSPyADCxUmM6DVej1H+7N3nz5q7U6lGOxTgEnO9TAK+W8DVGXXrS95RM1sWGjsTLJNJ44kduWKZyzlzOApQrTcmKdknt8EOWzQOFeXItzCN97/gcJUPPXBZkyFaACVIAKLEQFegVQLkRt3eSHKCxAmQIg7jXGH+rwf8jmvvvuUve78WEfU3Y2OMm279oyx67f2Z7Ow6rth749leFDxIAoARpADSxPso9Q3pazIUqcycWXCdf5/nHe9YESgBLwIkAtxJ7LPFMBKkAFqMC8KtBLgBKIgt8THu4+iJrZsDorC1E/+8zJtVqhsDyCQJOEdXx02IYtfGxZQAcQ9eADswaisGK5gBJ8lHCNgA6m8OQeABam8nBOzqf4Qsn9Ak2yjxAAdeq/u8ykIeWmE/m8dksmTgWoABWgAoOuQK8BChB18Jr1rRW63zG73kCKPZ03s36sNEQd+dtTsqp+SvgeHpzHYYGC87iBiGenTYhjOFfXauWAqRBEnbR9h4EYF6BgbQLo4LiAkw+EbCiytwFd8o/pQEz94X4Br+27Ts+2//J7CVCD3lmZPypABagAFRgcBfoBUC5EXXhmPlVWB0TBHwpvzZVZXBP3AL7E6tIKnzvLLJfQ2n9mxFyDdHyfg7EtTKnbfohakq0dX9vybRILkwCUTNshlHM2KIW2BZ4Q4j57371HykwL1OD0UeaEClABKkAFBlCBfgFUF0SdvcVAifgB4UFe1hIlIJQKL4CukMM4vrv3+s+uMFODcFJ/rWmJErBAiA8Qw2qVml7oOhui7r93Z3M6L4co6IGpOoRVAQrWJvzD8oQ4EQpEEaAGsFMyS1SAClABKjD4CvQToFyIuuCcHKLED0ggKgQcseNYWDPFCmUsVt8f77Y6Na1MAkyAKBua3G1M9dUxrTezLl94FM7k0AEgBR3sKbqqAOVCkuzLFJ7sI5Ry0gI1+H2XOaQCVIAKUIF5VKDfAJUCUXt2lLPupDh8hyxPAg4mfO4sY4HqOCaAZYWAKABZDOwAWYA7rDHluw4O9LC8AV4EouBcjn2BKBugsIQB3tKDBckGH21bfKdkCk/idu+TMhOg5rFTMmkqQAWoABUYfAXmA6AAUV+6vP2ZE58lCtNbPuCIHdMsQoAYsSy9/vNrW9Nzbx45aCwvr79wUYYpPFihzPTdMyMZrjPXYhvnmseMperZ6Sy2mKe7LAKm/nzApUGUTOUBnAA+WAjzputuSAYoWJpc4JK1pRCXfY4ANfh9ljmkAlSAClCBAVBgvgAKEHX7JVtaEHBjY7uBE3s6rwxExQALDuP4lp6BhCfPyeb+7mTjRI61pGC9gqXoxXtO6QpxzFiuHtlrrn/9yRy+BK58/lCYThQYsUNAlS+PMYhaunSp0QnQA9jBn7yp51qQfPtyj3yMGFYorEIOGMM5ATTcK3mlBWoAOiezQAWoABWgAoOrwHwClAtRt9+w0zzAxQ8ID/S6IArWKQAUQAlhHf+AKonTtSwBxgRG7BDX+wAKx2yImp5aa1Yrl+k8QJQ4gZcBKMCT3C/LIdiWJwEvOPUjvwSowe2zzBkVoAJUgAoMgALzDVAhiBJwqAuisPyADTJ1bsMXyrVCYe0oXxpH/ufqIEABor65bbK1ZpZA1I1X78qWLVuWLVs2YqxGgKGiFij7egEoWKIEnCQEvBKgBqBjMgtUgApQASow2AoMAkClQNSB07ZEwSNk1bGP+4CmjmOwNtnpYNu87SeLclqO50hPW0vKB1Hnn7u1BVGwJMnnXgR8tJAANdj9kLmjAlSAClCBBabAoAAUIOqmC9s+UTKdZ1ui8EFeF1SK7GP6rA5gcuMIAZFMG+L6Iw5MvfzARGvV87kfrOkqVwyiAEuht+hCIOUCFPyebN8nuY8WqAXWgZldKkAFqAAVmB8FBgmgAFF7Tmt/K+72391lgKcuiEpawsCxFrmw5NsPLVHgwp37Vt7Lf9H2k3Kvxb4NUfBJQtqwRIlTuUBPSkiAmp/+xVSpABWgAlTgKFVg0ADKhih8hPih+2cMOMAPSEChrCUK02p4O87+94FL7BisSnI/wMn1fYrdi3NH/uealhVs7p+XmW34UIXu+9pse7kHwFNZiDKv7mVZ9tihRzu+qSeaSkgL1FHa0VksKkAFqAAVqFeBQQSoEEQBIORBXxaiQqDSj+OY6gMsvfzAphZEAYj+5av5wqEAPB+QoaxS7lSIwtpP9jQfLFDyB+dx7NOJvN6+xNioABWgAlRgiBRYt3bVj2R6CA9zeVADYub7X6bzbEuUDVHf2l3NJ6of0GSngSlEfJAYb+JBa/kHVB35bvvzMi/e2+2U7kKUfIhZpvMAS1hcEyGczOUzLQJScgxLF/iWL5B6pwVqiDo/i0oFqAAVoALlFZjYsPrxQQUozRK1fHSJ8ROyIWWQt20fqLmnR7K5f1zZhqifjGb/8pe5T9SRn4x6p/RCELVkyQkGfOUTL7AsCSgBnABV9r/Aki8kQJXvS7yTClABKkAFhkiBOgHqm3euyx78w7HsibuXZt+7a1X26N3LW1YsOeYeT7FynTa91gACgAkrlcNyI5YoWKfgbF0VnELTZ1Xjte9HGi9+aVN2+A8nzTIHT184mc39yIKop3Or1JG/Wxssjw1RcK4XS9SKFSuy0eYnW2yAEpCSUM7hDTxAFSAKViqsM4VtAtQQdX4WlQpQASpABcorUAWgnvvCCRmg6fO3T2Wn37wr+1c37k7+/43P7ugArBhI/eS20WxmY/7BXUCUrJZdN0TBQoQpNqxWnvpmnQ1IRbcxpWeWM/h+e/oOcAiwQlxwVvd932/P1AYDOwAeG6JWrVpljou1CdYnAScJBaAkRBw49wd3fpEAVb4b8U4qQAWoABUYNgXKAhTg6YJP70wGJh9cjf3uKdmf3bGxZaVKhaitm1Yby4tYX4wVpSZLlLtWFPaxqrgPZIoCk3s9YOnIf1+fzT3V9ofCsblHxjrWjfrZJ7t9vfCJG5TbB1Frx9e2/KAEpmBlwj9gCWClAZTA6bD1B5aXClABKkAFqECSAmUBChYkHxSVOYZpvRg8yTnbEhWCKHxPzgWVIvvGCuUsegmoMWDz2FiG87BOYXoyjbQAACAASURBVDquSLy+a+E83or7pyPZ3JOj7f2/H8uOfHet2X/1r/3fz3MhSj7EDEvUeef+u0w++QJYwoeIxZHchioAGPavueamDgvUlZefZPaTGhEvogJUgApQASowbAqUAShM25UBpdA9Hz0wm+H/nt/fbP4Rv0CTG2oQNbNxtfkorw9YUo5h2szAkgU3Ajl2CJBKiS92DZYseP4Tm7PnP55bmF788mQ29xMLoprg9uwHuy1QEq8NUfBfEohaunTEQJQsXSBhCKrG14wToIat87O8VIAKUAEqUF6BMgAF2AnBUJ3HkQ6mCqMQtXlN13TezPqxShAFPygblnzb9uKXvrWbBHBSQ1i0EOfPP7e5A6LkjTykAbjzpfXu6dwnanR0qQGoHKKWZCMjy7J9e/cJOwVDQNW73/VeAlT5bsQ7qQAVoAJUYNgUKANQeLuuTlCKxRXykTp4zfoMb+BhCmprzRCFBS990OQeE0dzHIevlOynQpN9nVi+jnyv06HcxG05mWP1cvs+bGPaEtAILVyIWjY6mh347IEgPMmJD37gQwSoYev8LC8VoAJUgAqUV6AMQMEiVPc0Xgii4GvlWqBk34aoU3fkHwrGG3qACMBEWUuUWIMEmOa+P9768K8cQyjTeK1jz52VvfbDHVno48Iu+Nj7cFJvxQNHcscK9sq3JlrO5vZ9sq1B1Oc/d6thJawVZf/hOD7v8ulP30aAKt+NeCcVoAJUgAoMmwJlAQoQgzWfADh4my4EQFWPI26sISXQ5IY2RF1wzhYDIeIHJBAlkFEkPHyXAzQenyiZxhPwef1nV2Svv3iLyQMAqChIiU+UOKi7K5YjnbmfjnRZoKRcLkQBJuVDzKtWnWgcyfEmHtaAwh/gCRrhGAFq2Ho+y0sFqAAVoAKVFKgCUAIz8FOqCkqx+7HG1M23zgSdzDWIunBX/q05AY2UEBAjYBQL7ek+ANRbrz3auu/1n19rLEmYnktJ074G8QLQ7PiRjyMPrjNxIU6cE9iSe22Imp5aa/zDBKJOOOGEDBYovHWHv3POPMu8mQeIEh8ovH2HdPgWXqVuxZupABWgAlTgaFegDoCChaiXVigXrpCW61zeAVHvmTYQYFui8LaaQEZqiCk6HzzZ02tYDLN1zbPTBkxew1TeMyPZm0cOts7hOhd2YvmABQzpwIm8Fb+1nIIcm/vB6q5yfWd6U8s/zIWo5ctXtAAKa0Jh+g4AtWPHThMSoI72Hs/yUQEqQAWoQC0KlAUorN0EB29ZesC3LhRAB+d951woKrqPRTzd9aMAUYAB/F9QA0RhSk1AxQ4BNjZE2edAUG++8lfmPlijXn/hIrP9xktfMBalVEdzLN4p8eK7eUf+W+7jJcde+noOd3NP+qf08HkbcbJ3IWrJkiXZdx58yCyqifxifSgCVC3diZFQASpABajAsChQBKBgacJUWhFrE0BHvolX9HMvKVCFz8jY1qjbL9nSBVFYH0nAqqglqsPC1LQAAWIMRHn8ogAkb73xhIEfgJTAlIS495Vvvq/LauSzRsGxXJYtwPbcP61oQZWAVOy7eS5E4R6Zzlu/YcKAE/ILSxQBalh6PMtJBagAFaACtSiQClBV37qDFQoWI7FYXXvNbHbl72zPfv/qrcaSlQJLoWsQp/hjIbQh6sYrc58eAQeAVBGIgsVIYMUXwk/JPg54wh+OvfnyV7NfvPW82X5r7ntZa2rv5a9mRaf0cD2mFF/9Lxs70nvhunxtKFis8O+CmA1R+DwL8iWfaYEWWAOKAFVLV2IkVIAKUAEqMEwKpAAU3rYLwUuR4/bbdH979UR2969tzf5y71T2sz84IfvwtSeVTgMLbtoA5ULU7TfsNOBgQ9Tn3jndBRsufMh+aLoOMAKAwjIHLYh6djr7xS9eNfsAKPxhGg/b+DdghSm+Z6fNfal+USYdnz/UjzsB7qU/7V4hHRAlFjgXotaMr2tO4Z1srqEP1DD1fpaVClABKkAFSiuQAlDwdSoCSr5r/+Pvb+iAnNt/bSr7yLumsq9cNp198QPTBqY+95szhdPBdKJMEUYh6nd3dUHUgZO7LTYCTXaIabSQQ7kPogSU8FaeAagXb8ngAyXWKJzHG3oGun6wM8m53E5/7kerslf/pu2fZeDqe6tNfKHv5h2YDUMU4GrHDgJU6U7EG6kAFaACVGD4FEgBKPgYVXEE33r9Kdlf7Xem2ZoABSuU/P/Nb09mX7xqOvvgx3YmgZTPkbxXEAWgwnTe609fYd6uM+s9PZu/7eeDKANHz51lrFEGmASmxBrVfEMPYAU4soEtZdu8pfejlTmEWb5Zse/mARhDlqglS/LFR2mBGr4xgCWmAlSAClCBEgqkABSgBFYecQKH1QfTevA9AsTYFidcg2sxXQe/qW03nJJ9qrE9+73zpzMAEqbrEN8nzs0tUDY8HfrU6hZMIY7f/b1t2a9cs6sjfoAc0nZBKbb/obPa1pfbm5aoG6/e1YKJVEsUHLmNT9QPdhrncFiX8KYdIMhMyT2x3HzSxcBTE2pwzgYo7MMy1WGNeuEir/9SCKRkjarnr9uSzVkQhUU2kUesDwXAQujGYUMUpjSR1927JlpaEKBKdCLeQgWoABWgAsOnQCpACaAAbOStN4R4C84GKAAVwEogR6Do8jO3ZB84fbOZrsO03b/dlftAAaAevmmtASuZyvv6h6fMMYErHP9fn1lVCJokvxLuOa0NCQJRtjN1CkTJ6uTm0y7fHze+TQAoA1J4865pkcJ38QSizOrkmK5rrhGFtaFkag9O5bBkAbAwDSdv3LnQ4+7Ld/Pm/nmklY6kN/fDE7Mj8MtqOrc//3Edon56aDzDUgewThGghm8MYImpABWgAlSghAJFAQpAAnCC47YNTr5tLHmA6+EoDhgCQAGc8A//JxueAE0CTHYI2Prx51ZUgicXorA+0kP3zxj4sCHq67u7YcOGF1h+BEwEWBACiABGeNMOFiYAlA1RAlZisYJTOf4AT7hXlj1Incoz+fjhiSb/sDq98jcbsrkfrGnBlAG8p3O4evpC//TgVTvaVjlYogSiCFAlOhFvoQJUgApQgeFToChAAZ7caTsfPMkxwItYoWww0uAJVie8qffInavN8geYDgSQYQoP8AYLF5ZFcBfTFFgKhWKJ8kHU8tElGd5Ys6HJ3RYrFCDIOII3Vx23gUq2AUQ2cBnIan7qBQCFtaFsaxTuS7VCufma+4exjuk8xBX7bh7ux3IO4hMlEIU1s3AvQArnhq9HsMRUgApQASpABRIUKApQABaBo5QQPk+YonPhCRaob39io3kLT87BQgVnc0zXFVl3Cj5ZACt7mYQQQOF4C6JGl2T43AuAQSxRAKsYRHVYoZ47K7c8vfGECY1/0wv5yuOIE/9Yv6kFUc9Ot76VJ9YomdrDvbj+pXvjAOeCE/bh64Q0nv/4pIEmSfu1H56YwQIF6EO8vlXQBaJGR5e2tMD9BKiEzsNLqAAVoAJUYHgVKApQ8IFKASdcg7fpYEkS3yYBJYRnzW7ogCrs33nJlJmqg5WryGrnkh/4Y8XAyT5XBaLsz6wYWHl2urVMAcAI60AJEOG8mVJr+iSZt/eeGcFlnTCFhTabK5z7ICl2TKxiJi/WG3kmvv+9ojWdOPfkMq91zQdRBKjhHRNYcipABagAFUhQoChAAUIwfSbO4rKyOCxA+P/wp3Zk7/vETrPKuA1M7vaeUydbAAWfqJt+tQ0/iFOgqGjoW1TTBifZ/slto9nMxjEzTYWpO1iixA8IU1eaJcosrtkEJ0zNifVJFs2Eczl8omS9J3E8F8hxp/Nk8U2cLzqNZz7z8sMTM3wzb+4fV2Yv3LQ5m7MW2MTnXgxMPeX/bh7g7N2zG+lEntBfeAkVoAJUgApQAaNAGYASCAmFmIZzgcndFydyTNvhDT1Z3gBxAsSKgpNcj3tD+XKPuxB16NtTXRD1nelNXquNvAknQATLUuuNvNcezZcu+Pm1rY8J4zoznSerljen/3Bc/iQuxB2zOGnncP+RH7ffxJN4Y9/Nu+r0KQIUxwQqQAWoABWgAqkK9AKgAEO+aTsXorA21Ht3TmQf/6XN2VW7JrPPnbE9u+28rcb/qYijusATpv1cSNL2bYjaumm1ASjbEjWzcXV2aHLCCzQAIsAJHMGNpQnLGACMXvkrs86TgJH5Dl7z0y14O08+DSPWKblOQMf3TTsNmuzz8t28lx/I8yfxxt7yu2pmEwEqtdPwOipABagAFaACvQAoQMv/uG69aoWC39N9Z28xcALH7Q+dtivbMzWRfeTs2exb123Klt54SoclCoBk+0Zh0U5M98HqhKk7+GdpwOQ7r0LU+jEvRNkO5WbqrrmUgSyciWOY2sO+mc578ZbcH+r74x3fzwNw4U9ABz5NNhAV3e5YQsHxiQo5qROgOBZQASpABagAFSigQJ0A9Q9/enx27zfGsgPfWJf9+VfGowCFqTv8f/XaD2ZXnHtW9utnnp7ddP0N2b2f/p3swJ5Zc++dH5zJ7vzNGbMOFN6wg3M5/u3lC5CmD4qKHrMhampyTbclKgBR7lQe3qoz03lvPGGgCNN6ACSBKkAS/KEAOWLBwj2yMjnOVwUo81beo2MZFtp89a8nzFt6AmcIfSuUE6AKdBpeSgWoABWgAlSgLoD61l+szN7z51s6/t0pO9m/9tzOlcjluBvCl8r2jRIo+h9fPz674RsbOtK65C8mDbxVAaqH71qVrVqz0kxlbdmcQxT8ovCKPxzLZwIQ1Xorr7myOKbxACoth/ImTIGosGgmAAvLDtiO5QAsgZyqAOWzWAGaJH7Am3sNAYpjARWgAlSAClCBAgrUAVCwOrnwhP17rpg2K45jqu629+UfDUZ42tS6qHUKIAUfKvsDxAAjQJoLTr50YQErClKPf2VxBgg785Yd2ZImMAlE4Q09DaLgX2QA5dnpfMpOHMl/dkULXABUxl8KPlPN9aIEpARuEFZ1InfhSPYBeoAnWqAKdBBeSgWoABWgAlTAp0AVgHr6S4ujQPPZi/L1nuxPt9hWJjiRYxoPn2vBquNYWPPbn16f/eCPVxpYApilAJMPonAsFaQEniQeG6Le+Us5GNkQdeEu/5t5LYiC35G7NtRbz5u39MyU3stfNSAl0ASIgm+S7GNZAoGefoW0QPl6B49RASpABagAFQgoUBagfvC1JcZiI9DhC7E8AeBpx6Y1GWDJhiccf+8vb85uuW0q23/vedmKm/86W3LDQ9myT/5ttun2P87e8cUrvFYtXzrasRhIufAkcdkQ9avnbDFwY0MUFp/0wU1rOs9y3obVCX5QmL6z/2Q6D+AEiBKfKF+8vT5GgAp0EB6mAlSAClABKuBToChAYWoMQCKgEQsBTFgwEyBlwxOO/ebHZrvi+KUvXWLgCSDVC5i66xvjGaxm4kv1sz85NmrhKgtRZmFLWe/JAimxMMXCXvg/pcAXAcrXO3iMClABKkAFqEBAgRSAAmjAcTsVnASqsFgmLE3yD4iCD9Sed3Y6m8v1Ep7ztd3Z9rtvalml6oYpTA3C8pQyPeiDKHxwVz7CG7JEAVrgaxRbUsAGKTiUw3oFS5TPRykFgqpcQ4AKdBAepgJUgApQASrgUyAEUHDY/sY3VhWGJoEghLbVSbYBULft3dplfbLvs7ddq1TdMGWnFdo+/eodLWCS6bzbPrWrdSwGUYAarBeFD/nCumT/A5jgMI7zAj/GevXE8iy26KVcW2dIgPL1Dh6jAlSAClABKhBQIARQIZgoclygqSu8NB2gJD2fVQowBd+pLXfckZ3xlfOToUziLBKe2rAg6j1TxifKhqgbTs8XBK0DauYDoghQgQ7Cw1SAClABKkAFfArMC0D92tbs/V+LT+PF4MZnleoHTNkQdeC6k7og6sDJ1b5hZ8OXQBQcy20LlX1NndsEKF/v4DEqQAWoABWgAgEFegVQe7/U+dada4X6xF0zlS1GsErN3HlLh68UQMqGqbP+w9mV07Fhrp8QhWk/84be98d7DlEEqEAH4WEqQAWoABWgAj4FegVQ//7mGa8PlIDU528sPo1ng4y7jWUPxm+918CTQJSEKz/zH41Tel0w5YOoG69u+0TVaYmSFcThZA6rVJ1WJzsuApSvd/AYFaACVIAKUIGAAr0AKEzP/dGl+crjAkxuiPNVpvFcgJJ9QFLIKmVbpqr6TPkg6vxzt7Ycy3sCUU8s7xlEbVu9yuT9y3fsMlavKy8/yewHmg0PUwEqQAWoABUYbgUAUOvWrjIPTUwXzUyMmQcnXt8XKCka/sHvdMMTljRwIeozt1SfxovlDVYpLMoplig3hAN6lQU7t5w51Qampk+UDVFf312fT5Ssco5lDjC1Z1uPqm5/Z3pTqxw/PTRu2sKlF20nQA330MDSUwEqQAWoQEwBABTWNJI1iS48c9I8OE++dHthgIJFSeAJi2UKMOHjwVhME59tkW/i4fzvva83VigXqmCRcuFJ9rHyuXt9kX0bor58IHcsF4haPro0++a2+qbdZKVy1FWda0Xt2bzB1DnyLe1gemptNjJywhuxtsNzVIAKUAEqQAWGVoEtk2seAUAd+nb+av7tH8stD2OT44XA4oY7tmZ3N6ftAEr26uOAJbP+U/NDwtjGp12wwOYd19TrCwX4wTQeLEtY3kA+ESPAJCH8onC+Dr8ogaiRZUuzB/9sxkBIC6KWLakNovA23txjYyb+utaJAuDJoqBYIBQAhbaAY5s3jz89tB2DBacCVIAKUAEqEFNg7ZqVt+JhCSdoPDyfemRNNrpsiXmAnnHjSSpEfeSPt7asTrA4AZYAUNiG5UlWIxdrFMBpat2YASoAFK4BfBWx+rjXYlkDrFwOJ/IQMOE4pvNO/uOra4EmNw/9giizvEFNb+UdmpzIZtblU7a29Un8n2Zn1t4Tazs8RwWoABWgAlRgaBVYtGjRJADK9oP6yMUzBqBghXr3l8J+SpfeO5XddVnb3+nCX96cXbp3u4EngNJpU+uy07auy+7cn8MUYAkg9an3bc3Omt3QgqsPnrElw7IHLpSE9mFdwrTc2L//8+DUHCxNgCaAVR1WplBe7OMuRMGfCFNh0Hd5jZaoqj5PuN/A09oTTd5Q9+L7hHB0dKk5ftxxxy0f2o7BglMBKkAFqAAV0BQ49rhFP8ZDHitrixVq3eoV5iEKKLAhwd0GRMEZXNZ1MlN5v7a1BUf7b5o1b9t97rKtLcsUrsV1d12ewxfA6vZrwqBmpwmfJZmGi4W4DutE2ff2Y3vd9tyfSKbzXIiCw3YdAFQlDtvyBFh68IFZU++o+7PP2GLqfenS4/9Uazc8TwWoABWgAlRgqBVYtGjRxQAoPEzFEgFfHhzDvwZRNpj8yXXtBTSxFpScw1SfTONhG8fhdI5r7vjojAnl2liIKTj4L8XgSc4BojBtB4tV1WULYnmyz8FiB8sddPNB1MzG1cb6UwWAqtz7tdnJbH0Tjl14kqm7Y49d/CKtT0M9JLDwVIAKUAEqkKrAsccuOoiHPqacBKLEoRzHAQXn3Km/mXfzHblPlG+Jgltv3pr94e/U8+YdrEviKJ4KVAArTPsBqjAFCN+pXkzvdUDU6FLjV2ZbombWj/UdomB1umxn22Ec9SwvDsDyJPCEul68ePF7UtsNr6MCVIAKUAEqMNQKvO1tb3vb4sWLDrsQBUuUOJXj3I73z0b9omxrTD+3ywKVWKsAYXBCB1jBygW4qpJ/G6I2TK6ZN4gCOF21a7PxwcrhaFGGNZ4EkhHKG4M4D2vkUHcEFp4KUAEqQAWoQFEFmg7lBqKmNo+/Kb4xeDPvnN0TrSm9JaNLs5lztyZZpKpASJV7qwKVgBWmAWG1wpIHRa1WPoiC1UectHtpifrC7GR24a72ApmAo927JjJZqgBWJ2yPj698qwlWhwlPRXsMr6cCVIAKUAEq0FQgh6i3m8U1ly1b8pYsb2AeuHfNZqdsW9cCKTx4MbWHRTerrFxeBZRS760LqASsUqcDfRAFMK0TorCWE4DpqtOnsndMddaPD5wAcbbVafHiRQ+j3tkJqAAVoAJUgApQgQoK5NN5b7+vaZkwSxx0WC7ums3Oe+dktqy5XpRct2J8ZTbxjkkDVClrSKXCTy+ug1M5fKFS3+qzwSm2bVusZM0pDaIuPMW/Wjmm3+D0jf8DTUACJL1r50T2jul12fo1KztgVuoBIXycAL+2nxPq0AGnw8ce+/ZGhabCW6kAFaACVIAKUAFXgebbeWZKTx7KstQBLFJP/f/j2Zc+OZud/87JDj8p+0EOqMKr/fiH/5T8n371jgyQNQigBWd0wFQMjKqcM4t4fubz2dhEvsSB+ETZlqh3z27MLUib12Z4U8/WUNvGOk6YnoMjOD4GLP5NqCMAFEBK1qNCXHjLbvHixdcDlN065z4VoAJUgApQASpQgwK5NWrx9flDN1/WANNPsGTgYY2HtPw/+NWt2e0fnc0uO3cqO3WmeypJAwGBLVixAFqYGgRgwYLTCyuUGyem+WA10hboLAtTKz/2n7IT1282cLRh07hxLLchytUHOgOM8A/HbwCSQBKsSbZ1SeoA8IR6wfU2NDXjxlTdxQSnGjoGo6ACVIAKUAEqkKJAC6Sai27Kwx4PeSy+CCuHOJ3Lwxzh3/+3zdn9d81m9985m930m9syrHL+kT3T2YVnTGbv2IaVytd2vCEm8bohHNfFigXrVa+hCssbwHG8rim+8cv/KJv8ld9qARTKt2lT/nYeYAgaChz5dLQ1lW3AEu6F9gBaDzBlxx1/7COYpuO6TimtnNdQASpABagAFeihAlgnaPHiRfcce9zil1zQwT4sJnigAwjwgMe/PPRj4U//+7iBrS9/ersBrcv+7ZSBLHsZBTs9OLDjbcBeTgPCKoW378qA1MRFn8w2nX5+tvzEfGFNO+9nnropu+nyWWOF8mkCiIJusCaJ5QmaQlsfKEncS0eO/7tFixbdijqipamHnYBRUwEqQAWoABWookD+1t7i6xcvfvt9xx137L/IgzwUulNS8KlKgSxjbblrNvvIr28zUOXGDwsVVkyHdcqdmqtjHyCl+Ulhim7T+R/N1s+eni0ZWdbhxwSH+/PP3JwBDm0fJYASNMCUG7SBP5NbNt/+6OiS7+aLny6+HtNyfIuuSivmvVSAClABKkAF5lkBTBUdd9zbd8NJGZYQPOSXLDn+aR8EhI4JZMHygukpAJYNHWKxuf+PtmewUsmnSSQ+galeWKbgcG5bo2xokvQl3LJpTXbZr05nWIxU8gxgQplQRlnKQK6XcHzNysdWr17x0PLlS38POkLP/J8f953n5s3kqQAVoAJUgAr0XwFMKQkMwC/HhqwTV448LAARCsXfCmDl+gnB1wpTYjMTYx0WHDimwxm9Tp8pWKOm3t8wliY3ryfPrs9u3DubHfp/trSgSZy6fdal0dElPxoZOf5OTLnRT6n/bZIpUgEqQAWoABU4ahTAdJRtxcJ0lQsq2BegwhSYbaECTMEyta750VxcK1aplO/5hab8sFgopgkRl52f00/dlN3+iR0deQDgYVrOtTKNjJzw7NKlx/8pfZSOmubKglABKkAFqAAVGGwFAFbNtanuAYjYEINtvMnmwhQ+iIy3/exrAUFFVk6HXxXeALTjmJhck338tzotTYA4TM+5libkFdOZ9FMa7PbF3FEBKkAFqAAVGAoFACSYClyxYuSfbLjBNt5Ys9/+gx/ShWdOdkAQoCjmJ3VqY0eGKUCJe+no0uycM7dkD/5l26cJvk1IB+nJdQiPP+G4V2FpgiVtKCqDhaQCVIAKUAEqQAUWngLwH4Iv0bJlS563QQbWIFiFZIoP03s+kLLf3gNUYYkEiefENSuz3/j17iUHYO1ylxQYGTnhH7hY5cJrP8wxFaACVIAKUIGhVwD+Ra5TOnyRYCWS1bvxGRos6ml/zw/WJqyCLuA0Mroku/Gj21vO4LA2AcTgxG77Ni1ZcvwcrE2cohv6pkcBqAAVoAJUgAosfAVglVqxYtmfCxBJ2AFSj6zJ9l88k612Psz7GxfPdCxyCfByp+lg7cIUIhesXPhthSWgAlSAClABKkAFHAUAOFhTCZYigSiEsCTJ1B6sSwc+tj3DCuGY5pN1m3z+TbBuYZrOSYa7VIAKUAEqQAWoABU4+hTwgRSm4lyQEsdwLHZpAxc+k0Kn8KOvXbBEVIAKUAEqQAWoQIICACks4ok35QSQxEcKMOU6hudv03EV8ARpeQkVoAJUgApQASowDApgKs63plQTrO7h6uDD0ApYRipABagAFaACVKCUAniDbu2albfin8sQlJKQN1EBKkAFqAAVoAJUgApQASpABagAFaACVIAKUAEqQAWoABWgAlSAClABKkAFqAAVoAJUgApQASpABagAFaACVIAKUAEqQAWoABWgAlSAClABKkAFqAAVoAJUgApQASpABagAFaACVIAKUAEqQAWoABWgAlSAClABKkAFqMCgKLB/f+Pi/fsb14f+r2o0dg9KXgctH41GY3lIt+bxefsoq1avyPug6Xm05yehvVx/tGvA8lEBKlCfAhxT6tOyVEz79zUO7t93RRb839/goB5QFnAZ1M1o2jgYuLXnh7V6JRj3vAq6EtDbyxVZ1008QAWoABUIKMAxJSBMvw5rD1pYUvqVl4WWjt54jz6A2r+v8XAcGq/I9u1r3LrQ6rIf+dXbCwGqH/XANMIKNBqNySv3Ne7Zv2/v4byfNx5Hf240Gm8L38Uz86UAx5Sm8mi42oMJ5+ueeiFAlW/6euM9ugBq//5GQ2+jjYfLK3p036m3l6MfoMzUdsziXec5/vgr1KHMtH9Q/8bjhKhCcvblYo4pTZlB+frDqf5f9wSo8u1cb7xHD0CZufbWr9LQlG/jYQ6y4faktxcCVMoYmHwNASrcGJ0z6Ldtq1Owf8+bS4KTXe42FeCY0hRi/77GqKtgDgAAIABJREFU42kDQ+PxOlsPAaq8mnrjPXoAav++xn3x9rn3MKyo5dU8+u/U2wsBKt7GQg/2wHECVHKnSrMu1z8DkpxBXuhVgGPKMccckyKCPbDU+aAiQHnbZdJBvd6ODoDSy2kGVsKT0mpSdFSiWPCnOYU3mFWYWi9ow4NZguHMFceUY445JnfaC/yK8sxJ1+mkS4Aq3/H0xrvwASo37SvW0f2NeVuuoXzt9f9Ovb3QAmX/UKy8TQtUciMnQCVLNVAXckw55phj9LlnF672Hq6rFglQ5ZXUG+/CByh1YOVDKrkB6e2FAFUZmuwfnGybyW0z7kDefv7QxzFZ0r5cOPRjypWNxnvKDBq4r44aIkCVV1FvvAsboHLH8fbg6bZTWE7Lqzd8d+rthQDltrFK+wSo5E6W4kTO/p4sZ98uHPoxpej0nQwodTVmAlT5tq433oUNUPG2wTfuirYcvb0QoDCuQac6/ute8qVofS+06/OldGT9J/eHE/v7INbnUI8pKdQvwNQd1jONF39IXpFhCmcQG84g5ElvvAsXoOImfa4JU6b96e2FAMXxpkzLqu8eQGe+pA6+UNH8p49jfQLXHNNQjynxh5T7C8CzX0PDJkCVb9F6412YABUHey5XULbF6O2FAEWAKtu6eN8wKjDUY4q+to722YzGfVUbDQGqvIJ6412YAJX75Vm/QOWX6L7GQZS5vGLDfafeXghQBKjh7iMsfTEFhnZMyX/le6xKrbdIGg+nWKgQTzHJO6+eL4BCvlH58l+1HJ2lau/1Mh298dYLUDCvW3otb5eye0urV8TTfVf/j0h5EC5UnxX4jkg5Yu0Y13RPxXeOAXXXgJO3aJupO21ffACkqAYLxGXAqm+uf+ar6IRjTtus9BxLSE69xMnPvNartC+EsYzPx5iC/Dha9X9c0eBIPuAYHWwAWxWn8bQHbR2/CPFgzFe6xWrWyppC5nzjPlxf9IGKSs0H6KR0HobGVd5m1BtvNYBCeZr+CJEP+DZMOXCt3dG0etU6ptERD7vAf4m6sdtApDwAisbj5uWKim3b1qPO7bzvam2scdBtw3p7qWaBAry18xZyBm7rW6Xtl9Uz75+d0NgxxvUBoEw9BNo18ueWLU3X1kd3O/qhGxf2m+NhsG81+1zltdWMJTlSTqRj92PTdiLXa2OGr6z2McSfvzQVewaYftORL8ShlcVOR9uW+mz7ekXao/l8VXdf1tIocl7yk89IRfutjCkt2Oz1mIJyWM/Vgx19tWXsEf1Qr+bZfTHKVESDwtdqDzh5ICZM81X6PpGWD9+AklrY5mCuiC7ih8L4tFGz8TV0MAvFj+ONx8s8TPTGWw6g8ngxhRbLs+9cWyutXrXBUEtbu1/aSLMNKMDkK4sc23sYICLxzWdoHmzq9wAl3+0QDw20U729lAMoPATzB1M7Ta3+2ucbj6OO+qVrrmEknx6AqTtvWh7s9MrVeeOgDSZ2fLKdMl5VfQjpaXS+iKSNGdBC8l8kLKfhFVmz3xjrRjxvaeMs+l/5fpK3WenLRcofurb57Lq++DqQ+TdxezmmIM/NsTvxE3Pdfdquv5AGpY6bXyDRh2P7e3d5Iboz1x4Aq32fKN4wy72FZ4h1n+a/FS+TXT5s+wak3KoVI/ZiaRTtHPoDMa1jSyNCh6jawaFVyi8rDYBc/d197X7zi1G1Nhapn/l7jbrZnksPJLl2ew/n9RIvs7SF1LC+PmAe+r391ZgPyvM+hZdrFq4HjDXVx7C9h2M/yjSIM22mAtjm+Q+XEfGjPdrtrO5nQV39pjmWRH5QxsfZ/Hlb5gdpSL+9h7Xxz9bVt12XNintyJd+7Fj1tu/oVhK8g3nUOrDdsA2lRmHLQE7pX+h1d5qUCnUfxvp+42FXzN6kg4rvTstNW/brBKi8nuuFzpiu2gAQuxfnYvfnA57TibQ2nHS+/xCV/4CpD9I1XaVtpYR1wHZnfnqvr9pv6x5sPUKq/XZ/o1HGKtCpZbP9ByBI/xFdbCxyi5nSNtwfpXU+C1J++Hv1Co4DsT4YB6hi6aSPWzFAduvD3q9fm3ie7bS1bY1NymtZ49iCh3QsIyBAu6AJ03hdgGHfH9uus9OkdNpYuUPnbKCUsvTuId39y0zSdEN1IN4X79gSX7/hCTrHAAj5CtWFHI/dnwT9wYEyPhgUAVzRt2zY74EO2qbmtVd9rdf6LgiAKt02/W3XHc+ljvVx3W95l/tjoQ6A3W9w1/Us6He/QV+Ia1Gn9cmuY7OkSyEH6n5rMxhjimhWA0Tpvzza03fSKFJEd39NyL1aWFen6d2AHn7Y63P8UnHFwxggiKZ1AZQG1AItdYZa+bS09PvhZF1c96R7+uATlZuxe5T/iC7StmJhL/sa9Pf9YInlp8i5YQQojFM+jZJ+BJawyKXE67Oe1PEsSEk7qY9H+kjX/YpGKc/PrjiT00/7kYz6158XvRlvfG3PPdbrMaWtb0WI0gaQ0OCl/aII3ecK5e7X0WmQdlugIo2gY62hgI9Jp6Ojnf9wujD3mrcBzJsupuHCLI83TBTrX7scesfQO4QeR7gMIR3Nmw7tVYKTO3pnfDoAdV7f1iU/rt6/v3Gxe0++b+oGb5OYujEDLq7N6yYRuswvv5756zQtgoH2GNIlpS2H7m0ft9u3bzv9AWWWQbke9ST/Rdq/Vr++vKUcy/PQLq/bRjCQS36rhLEflIjXTbfn+4GpPG1cD8FXTGv9YegHuqrPgtw4EJtqc+u9ORa015mLzswE60gBqLhFPH+LuTkeXdwcj67PNUwrS0pfyfOQFl+7nP0ZU4oBpqkzvCXfeou0iFZ52bqtn7H23HFOs5qEzL1lO0VH4p6dqp2m2GBk3viJLk+A+HKokMYWFtu1EkCjlMac51nidzt1ez9UFyKjXvY4QOn3t/OCsoUeCnkHiL0a3I5HOqemk1wXCrX7uwetxkEMTqJdKMwH4fgUt8lT4IEUirfI8XSozd9gQ1nd+E05DBR2ax/SFMfdeOz9tEE47ryM+HII09p/vO3a+SqyrQFUTJtC5yIP1SL9TtJs9r8O14pcx9TpIT+0pLQ1bRyy9e/ud572F9Cm6rNAvb/1Y6/xcGj8QL/Rn3VOmQLlsXXpnC5tPYe6+q19D7RMy0v4GSXxpcWDcsXHlPR42hpJHnxhPt5qYwHi0t+GLvJCS8qzoCu/7gNfOmc79HcyRJTS6Yt0NMmc2uiVxqkBYatsSjySHzs0FaI8KPP09deG7XixndeF0nCUPOt1En8IqdqbASft0ynpnT3vWKEBTHRq1Vtr0Gt3SJzT7kc8+aAVHiwlLTfMHwIaEOqDlhtvyn4+oHSW1a9F4z7kU4szqZ1ZGsfi0+Ejra0gDX0sMv43HcAQy1vqOb0MKdonXBPpu3q/teM3Uw5RHVJ/wfvG55T2BsgqoG/A8tsuE9L0xaeORzVoCgDwpe0eS4P8Zpki+ZJ48zrSIUCut8MUaLGvd7dT2xvS6feYklI2wJOv7brlxH76eBdmHV+85pj2a0PrKBqsaPf7Mlal06QOHLjOl3Ydx0KDQUrcWn1Am1g8escI36/fi8EhveFKPtM6hA5AfmhoD8LIv6QZCqvUjd62wlO7ofykHE/Trxi8pQ8qYQtUDpVx4E+pE1sDDWaghX19Hdtamlq7Sz4feaim9T209XR/DX0sCS8Jo47B+9Lbeqelpd1f27qF266aj4im6r378nWdirQhfQxoli+SL0kP/afseJT3PZ+W7WOxvpcyphTtazWNKcvb7aJdls5jxZ9ByXkrygUaAGkVrHfS9I4mDUtt+JHGqZXHVERRkSRjfQhTBtJYNvT7wwCV1KkSprzc/OWdXbPe9Aeg3LwV3e/syN0dHB21aJyx61MgpQm1quXJTSf/Rd1dBreM7n2yr71eXHQARrz6g6HEr0TJcCBcSABVpH3pWqLu/eNBCiikTHng+eG2J3c/9qAv+yxISbfs2506EIbBNNAESx2uoM3b3Dro3m88jvZTNGMp7QZpheLVeaL8EknaeJVrkL5kUMIUnB5ZSkNN6Wi2oBUaxmR3Q3AfEOFfO3Ye5nNbK0Msb1UAyswpW1M33fnwD7ax/Mi5lMYbG0gRT3d+OutWu1/yUiXUHP7rzkMS5FT4QZDygyOkl6aF9uMrEm9kgcLyr9EH0yvhF6a1Re/5yA8/vd8Wt5agvPrDPjzGa+NBCiDr/T4OxGWfBXq6+g+2UHvJrRmdY09XfUfqOhRv0eMq+AfykAQ58zemKC/KxNuLpmHKeJc8bqkWh8RXs7WBNKWj2QUv22lS6DVZHDtDNW+bwbLjLS95syE+HSKdNPaQ1gdiPwTp912RFQVhW7YU0I6VC3FJ+UOhdr+dn9C2GRy9daNb0JCvKhr58qT20QJTKb741UE48GtRt26EH8y+fNjHtDzVrbGWXqi9FT4eeKCh7Cn9r0z7TgEJW3t7O3E8jVoptGcD8men6W6XfRZUAUc3D7599UEcqWtffL5jGDNNu9jfuD6vC3lOJLzQYn4I+8d6fUypBikp7SZQXt0AorQXX7z2sZT+AMC07wlua78wEBEqUPvXK6TYNF6FThP95YrOHBSjhycMPJiVhFPfjon/uokNpKbDlbAipTSsqhJpD5xYuZB21ft9+TcgYJY3wBpRaQAbzUcNA6edT+0BVPTHiR03tlMsXO492E9oZ/iIp7W0RaHt+K/QujVWLVCA50L595c7MjDreoanPXz1I8eqxJtoaQk+bFJ+NGnTROWfBUpfrtiGyuZL6iUUor7y52naD7boWBSanlU+ZwUACuUv5XiKhcsXT8p9aFO+e1OPpbRJ/KBS40sZOOOVE3/Id90bGTzczJZtnF1puiCRIoybmQr7qCwdLgvqqLxtpg+Y/l8l+q8G/31F5NEABXmPxafVr3a/HXe7bpSB1m1D2n7NbUwrc/KvJbvw1rbeXvwP7r5ZbXx6162xBlA1p2fJ39osWw+tCAIbVePVAB5jdSDpY7QxJQX+e/UsKDJW+MpXNl++uHAsh4c6oMl+nvjrRhtTqlp4y7Y5fUypZhkT7VXrYaRNSxzH9OLBHq+YdN+jso0znn75Oe+WaIkb+FWlDR5aXmPnY51fb7yhThW3jlX9VQLptHqNlSu/3x4cure1+6X68o5aMzjJg77mh22sHeBcapml7G6otxcCVNIvUlfYgvtl60FLpmq8VawC2oMqpe1qY4avblLKrFm+NF3L5MsXZ57XusFJxsbusT7FAlPkRYVwmSQP/tB3X8K0axDWffGFjql1pwGUmbaoY7pCHhqJYWqjVQvoeUildJqUDhsSPfV4bvZOnaP2N64qD01dh+5OhbKV0TxVE7lOS0Ornyq6IA95u4+DopaGet7TNqX8RUO9Lv1wUySdsmlodanqlDhmeOOpUWNopf7yrTk9X/2UrQdfXPaxqvEmPSs8fil6umnWBLWdeepGT7t6vymTL7tesJ3iNuFt/8l9p3us74c2ZdPQNK3jR7zRHV8EiWrYrVtH3aX8qognUO7BnzrdoAlZ4VdHpfnTDhE9Oznd98iyYVU4GqgneXNIb7z+xlFG81AeQse1NGLlQpxam4zd34Sncp9lsLTX8uBrmyE9tON6XVZ/EJRNQ6tLVacimrrXeh6ampax8wSomDrHJMxWdPuWqjMcHujy5UJtZ562ULZN+9IPHSuTLzuuXs5QtPte91jfD23KplFVU1vf2Lba3zULlG4qKwlI7kDXtd9dob6ClhEypdJwjS+9uo7p/gKurk3nVPhgNP9z37S4BStWDl0Hfx2U0byobloasXIhrfbA4OqY78fuLz5gAYQbB8197fq5WK1jz4BeVCe5Xq9LApRoVSVUB9Qa6zSUz17VdR3xpjiTu9M+cX9HsxBi9O090UkbM1B3cq2EdZRZ4gqFZfIlcZXzP24cNFDaHovwHdVGfEzsHuv7oU3ZNDRNa7RAaS+bhacK81/i/gdQvDLquQdWGmlIoVAT0tdpUjo5KjaUZtXjemMW/cLfFZI8aOWPlUNvvN2dCulqafo0l/ymhhp8xMqV51E09Ieh+3VNJL7W96iCbbQfOomeKfkOlVni0MKUNHxxqDqYD2TX8Oaa5+0392Hty1+RYwQoXS2t79oPNw0QUpzHJUdqOysJUFXbUJl8oUxNS3j8LdOm4QE6xfKp993usV6/p/o6aylpSP3aoaqpZhmyI4tsV0onbfqu9MCnT5EkmG7VAno6DfRSATAh7Yju0VOaw6TJW2L6WvnRQEOZ0Rtvd6fKtdN8g/z3hfLhO67VT6xceR4FdPxh6P4Ui2tzsFJ/FWt1Uwdo2tppmg3sGzOBPmqXbVC2CVB6Teg/ENs+TVp/i0GBm5My/S3FSFC135TJF8qW+Px9OMXQUGasT3EiD42jbt2E9vV8+S3n+ixBu42F0k45HreOKgvWar8k0PhTMuG7JqXhIn3fvfax0o1TdYwvXzY7f+52SoPBAOTeF9rXyh9r4Hpe/CCkN95ia3n5yqbBQKxciK/M/YltMrnNa3XTb4Cyf/n7NNeO6Q9G/2CnQUcRK4OWx16f18pSd536yqP3W389+OKyj9UVb0o/ApTo1+njv53/sv2t0kPSzkBgW/3BHPgBoZZnX/onVPS69Y/12jhaw5hyvZaGT1a1H+6rbh0DvGt5C/b3FPpMdfT2CYBj2q8PZF6ja7WRlW6cetqhcsWO6xVfjJy18sdAo3SnUufTq62yrZn10S5i5crblt/yJB3Cd7+uh2kTquVJ6l+rm2DnkwgKhmp6+4q1LTd5gI7oFwrde7Cv61oduH3p9uKY2n8D402dedH1nF+AQlm1tmLOm0VpI/20wHqASFNt/4G6Ue/LP4qe3O/tuk58jnb5ZuXliWiDqbsC+uhtJgRQcR9bwKFd3qLbKQzgi1MvT/nv4El6al+PPYdSfm3iF4QkViZMeVBqhKs2/lCnSYCAKha2kB5ag9HK68YbepDJcTQ09x7Z1xuhv1MlkXmFOWht8EXZYuVC+aT8odB3v95h/HqInm5Ytm268aTuo+2Eyts6XmDQtdPNrQX6W6P2PbKtWxqKPQwk3vkI1TYSGG/qzKveb+cfoPQ8mhcvIq+IpzuPi7Zl+1vKsw71LukUCVPGMl/cKWNskeev2m4D43XKmOIbS1M0SoLLwOehEL9mOawCd2njXeSHXy+n72xxq4pQttOkVl4RyrfLFdoum19ffCkAGmvc+iAXBgbVLJ0AOb4ypQwcgIFYuRBvCxi63u7Mf9X57i87yATKoX5Z3jdw+uJKPabXJ8qebva3000ZSKG5fY+9rf1wwDhQ5IFgx93PbbWNlHzQFilDSj0XiU+urTvelDEi1E8BHpKv1LDs2Jr6LMDYlJoXXJeipym/p82k3FskLwnPc+/bZCnPmBRXG19e9TEhH6t99+JYIpwmu8PY6aSMd8E2mtSgSv6StTOZKkKs4ZbtNEhbvVcevjWVNS3NNN+rnJA182ocNPROGgEovCIr+gTDYg/FZpmS3jpB3t22ZO9refPdrz4cC5irkwYHz8Bpl6HMdspDK9jxAwmmObPGB7u0OBpwiK1k1Q4UobbDahvpQZ26mdf7bRhk3bjs/brjTbLsBMYOPIPsvKVsq+N5pG6S+msO+UkQlf8Q1C22VQAq9ly09Urse16AQjy6kUNxprYz09xOy1N8TElpr80fZkl1JtlMg0bjzuGPN4W+6hroUjKL/Ejh3LBKp0mrgLwSMXAWLTMaiZv3FGrWBo8maCjrU+T5RhldzWRfL38YoJIg2wyOxuLhb2iSkdavtcQBZ94sUHEgleKk1HFo4JQ4yobqA775wEIeU9pzanwCrLF8p8Adfs2mPhh8aWE8ibV53z1Fjql6RB7SRdKJXav328EAqHycao6fAVCSdtMZhsedmC79eRbsPRx7FpgyJ/24tHTxtJmU8TXlh1DK8zXXPqy52uatMSVWP3IuNT5pE3KfL1Tr3OTN/JBXn0GIP9cr5TkU1guWGcUKkGYl8RXYd0xPLzzXqAroaZx2HtT7Ozp+q/N4KwONHhWQP0ClEjqd7NJ+lYV/ieeDp255ksYXe5joA3GkkRxzjPoBUMkDwuYDu0s3PCxzvawBpUNz//FYuVC/dtq+bd/9uh7IS7gz5oOetsSDVR6lbdrtNHW7CddK/5U8+NcZaz4E9IVAPfUUy2eRX52h9uLGj7x6+lzym5JufNq+Pvg3F7z1rEmVjzUFl33xWL9T2qlWDt/5XsSbZtmR9tgMPWX25dc9po7lSn9LMRy0xxKM7437THtoLljZOe47ZfL0lVZcgXylWH7Qp1wdsF8c5MJjfT6myPNMK5c6piSOTe10fOWTYyltNte59ez2WrhRxiL1j7Fe8tAR5qbHduZblWw3gECldURUYCcl4xgkfVFW7TT5Qy+1cbi6AGTMgBhd08oWO0/Pjce3v/ew6ZDNzplrlA5OUm9oYD7dcExvfOFOhfvzjqXBtq9s8hDxnUs7FisX8iblD4Wh+5MGLdMXOgdP3cfAU67AwBmqr9Tj+a8oT3p2H+7aNg+Eg6XKYcWl5VHtr1Zced218nUwhxdpOwhD/Tb8g0vLn3ZeB6iiuivXe9qI3m8HwwIFLYu3xfJ1p7Ytj5Z2fTfHs+hYHhpPKh0P5Cv9h2XjYRvkcmgN9Y1Qe4uP9cXrEem0+m5haLL1tOvIt12sT3Y+V5tjSuRlBo9esWWGUmAGDc1XkLLHUqANjckXf9VOgzhTBiS7Qotuu/Cn5rnrIeKpxMRrQqCQVu54p0qLo3zeYzrHyoV8xe7FudD9xTpjxbIFBk7kv+pf+uBbsQxOO9TyXR66i+WzyjRgrAx9bR/Q1tNGUsarWBlC53oVrz7D0K5bPH9C+dOOq+OqR0s3zvxZVBQ+2vnXxh3v+UC+UurDG5/TJ9Ou0cf6QR1TUIdq3ZfSpLteQxzSakd6Y693+k4S1tP1/zJRhQs0TklXwiLTC2kN0hLfyUMKMBZOI9RAItZCvYPqnQr69VS7cLmirxVr+qHsUvd2mD/g+zSAOu3Czkcd21WtSZqGvvMp+e7LQyr2KzElk4FrCFABYSKHi2hmW+sjUXpP1fUsqL99KuNJZBwoNQUaGjOjxztdTXwC985CF9fHlxf3WO/y1n6Oq/CUZKaLPJDdQhXZT+pknrTr6jTIaw4U8cr0PTT0Y90gUh90KPmNdM66AAra1VceNNi9h9W2GCmXyU90sAhboHBvfYCr1E1g7RXkoY6/5qCS9LKB3oZRL42HNQt1ar57P+D16IdeUQdhpR2qunvaud5vB2cKD+0h3W2he5xMbU+4rs5nQZ7n4i4Tbn2a/qK1GU8dS7nr7Sfx8UjSjIX15seMKflH2CP9JJYf91zPrGSROmrlISVxCNi6ocaNtE7WPSjW2WlQnGYDKTYnGql86VA+qapDR+Og9rCPUbM+EBcb0OoB0PZbWKKdN1QatPceq56QV1+dyLEc4OIDTjyN/O3DsJ9OPnhIer0MNeiJlwP5vCKTqRXth05RC0IdefPnv9hnQFL118rvz0uuYalznnau99vBAihom2JJcV0dUutErqv7WWDybeCnzDjQeFzGGPW5qlhLq0OLcaC+WMtHkb5bR79NHVOkflPD/Llaps58/bRdj2r68cHeDPg9e7vFNFbzVXZfIdrHXIDrRadBXvJBCo6q7bSLb+89jEYSa5jNdAo62ZkO0VogLJ6vMATpA3H43lBjQv2U61z5WxJ2vLFySeezr7e3Y/finAxu9j3udg6nRdtA59seWvt00+zVfvn23Dhoa6W1Gfva1LKgf2iDu1af7fON+6o+iGP5JkDF1Amf038s6lNI4djzM1pfQ91pcfjOG4AxX67QxgI8tM3LJR1vxmn5Sukz5cdV8yPbvDGmtd2UfNj65GOBponv+dk5pmhvphfNF/LYrLPrdabx5Q/H8rcJ7fJGtzGIGYFB3IH/MgWJJuqcNBUSSFvy5MKI6ZiRe6rmualLI/8Fpb1xZjqQeVuoaLr5ANO4L1zh/s4JCTUNHJlbuwl13jEQtG5M2EgbdNplwvVutFLngTCat8A9rbbttiM3bXsfdZk/4EP13ypHwy2HsWRF2qedTj+2AYU54MamJ/KpOlzr5klrM0V09cT9NrTlptYJb0M1lwzY37i+l9Bk5zNljNLaXpHzvnFEqwPEb+c5dbtX8Ur6sXLXUX/aOOjTUvJWJEQ87n+s3Wv+vb5+FsoP0inQfztetdfqt6w+gzymQEe0rbQxpWGe3UXqI1RPPB5RAA3R7kCxzhOJJngKD2E7/uCFC+jE0VQmu25cYFpAVWKyarfluttxHVq47absIF9HXhgHFSiqAPpU2zrqt3YUjdO+Hg97GY8Gpf8ugDGl4/lt68ltKkAFqAAVoAJUYAAUMFa3qBtIcTeJASgWs0AFqAAVoAJUgApQgd4oAOtp2CWjaY0qOd3amxwzVipABagAFaACVIAKlFQAvlR1TBVrzuOY2qO/TclK4m1UgApQASpABajAYCkgTt9wPC7jV5RbnvBCkN/nqX28N0ttDJaazA0VoAJUgApQASpw1CsAi1AbcASA8qUJtBdGjMM43rgNfqNR4mtN30XfJD7qxWYBqQAVoAJUgApQgaNDAX0Nu+bSGfl6T9c3lxQo8RFuOo8fHS2GpaACVIAKUAEqQAWwYnrBRY0dq5I6bYfr9x4uMzXI6qECVIAKUAEqQAWowMAp4J++KwNIsXsMPHUtUDtwYjBDVIAKUAEqQAWoABVIUUBfsykGRinnCE8p9cBrqAAVoAJUgApQgQWkgHEC31fm2246PDXf6Ov6XNUCkodZpQJUgApQASpABahAWAGsAZV/+1QHo+439tx7GvfVsaZUOLc8QwWoABWgAlSAClCBAVLArOfU/rh1onO5eUvvPizGqS17MEBFZVaoABWgAlSAClABKtA7BTDNJx/vtUOuKN47zRk+XyNYAAACDUlEQVQzFaACVIAKUAEqQAWoABWgAlSAClABKkAFqAAVoAJUgApQASpABagAFaACVIAKUAEqQAWoABWgAlSAClABKkAFqAAVoAJUgApQASpABagAFaACVIAKUAEqQAWoABWgAlSAClABKkAFhkkBLPplr2vB7cZuakAN2AbYBtgG2AbYBtgGfG2gtf4XTurL0rvL1HOfmrENsA2wDbANsA2wDQxjG2gcNIY2AtQwVj7LzEGPbYBtgG2AbYBtoFwbIEBl5YRjg6NubANsA2wDbANsA8PbBghQBKh9HACGdwBg3bPu2QbYBtgGyrWBJkDRiZxOcj4nOR5ju2AbYBtgG2AbYBvobgMtJ/JheuOQZaUCVIAKUAEqQAWoABWgAlSAClABKkAFqAAVoAJUgApQASpABagAFaACVIAKUAEqQAWoABWgAlSAClABKkAFqAAVoAJUgApQASpABagAFaACVIAKUAEqQAWoABWgAlSAClABKkAFqAAVoAJUgApQASpABagAFaACVIAKUAEqQAWoABWgAlSAClABKkAFqAAVoAJUgApQASpABagAFaACVIAKUAEqQAWoABWgAlSAClABKkAFqAAVoAJUgApQASpABagAFaACVIAKUAEqQAWoABWgAlSAClABKkAFqAAVoAJUgApQASpABagAFaACVIAKUAEqQAWoABWgAlSgmAL/B3hxrJxf4m7pAAAAAElFTkSuQmCC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753475" y="7124700"/>
          <a:ext cx="2150269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83342</xdr:colOff>
      <xdr:row>1</xdr:row>
      <xdr:rowOff>23811</xdr:rowOff>
    </xdr:from>
    <xdr:to>
      <xdr:col>2</xdr:col>
      <xdr:colOff>1190625</xdr:colOff>
      <xdr:row>7</xdr:row>
      <xdr:rowOff>156650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892" y="90486"/>
          <a:ext cx="2507458" cy="12758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8</xdr:row>
      <xdr:rowOff>0</xdr:rowOff>
    </xdr:from>
    <xdr:to>
      <xdr:col>10</xdr:col>
      <xdr:colOff>292894</xdr:colOff>
      <xdr:row>12</xdr:row>
      <xdr:rowOff>171450</xdr:rowOff>
    </xdr:to>
    <xdr:sp macro="" textlink="">
      <xdr:nvSpPr>
        <xdr:cNvPr id="2" name="imageSelected0" descr="data:image/png;base64,iVBORw0KGgoAAAANSUhEUgAAAlAAAAEACAYAAAB8hEgvAAAgAElEQVR4Ae29a5RdxXnnzbf5NssfLHGRWq0LLbVurZa61WoJCYQJGczFdswMAWS/kGCDExNxJHBibHN3TGwzMuAQAk5i7GUytpM4vAwZO5OZidYL9uSd1/aLhxVBPM4EbIK52oIAam7es/61z3NOnTpV9dS+nNOndf69Vq/a17r867J/56ln1z7mGP5RASpABagAFaACVIAKUAEqQAWoABWgAlSAClABKkAFqMAQKbBo0aLJ4457+27+UwNfGxiirsCiUgEqQAWoABVIV2B0dMl3Fy9elPGfGvjaQHpL4pVUgApQASpABYZIgRNXjjw8PbU2u//enfynBq02IDA1RF2BRaUCVIAKUAEqkK4AAGr3ronstWdG+E8NWm2AAJXeh3glFaACVIAKDKECLkAd+vZUywoxn1YpAbr5zMMgpH3l5Sdl/fpHeUV3AtQQDgYsMhWgAlSACqQr4AIUHtby8JzPEPnAw/z8c7cORH7mU4t+pS2aQ3dJM70l8UoqQAWoABWgAkOkQAig1q9Zmb1jet28/MvD+7ZP7eqAqPGp3dlJl342O+VDB/hfowbb/s35BpgIUEPU8VlUKkAFqAAVqKZACKCuOn0q++c1G+fl/8DJm1sWEIEo+GkBrLadd1X2ry/5Cv9r1GDq//oUAapaN+LdVIAKUAEqMGwKDCJAAdxciPrpofEMbwsuZIhaPbEtWzKyLFtx3s0DBYBbL76ZADVsHZ/lpQJUgApQgWoKDCpAAaKu2jFpHuyAJliiFjpELV+52pRn7L3XDBRAYUoUGnMKr1pf4t1UgApQASowRAoMMkABovbM5lN3eMA/+MCsgah1a1eZB/70+R8fKBDRphbXzp6RA+FFdw9UvglQQ9ThWVQqQAWoABWoR4FBBygbokZHlxqIAkhhe+nIaDZ5ya0DBSMhiBrZc6uZvgMIwhk+dN18HPcBlEBqPa2MsVABKkAFqAAVOMoU6DdAvXDj5uzV/zyRzT02ls19fzzDPiBJ+xdL1EKEqHXvuiqT6TsAFP7hDwWomg9gctP0AZQ47R9lzZ3FoQJUgApQASpQjwL9BCiAkyzUKOGRhzao8CRwtRAhav2ZH86n7TzfG4RD+SBAFAGqnr7EWKgAFaACVGCIFOgnQAGWBJwkfOnrk9nhu/L/n56zKQpThyYnspl1YwZIxBL15Tt2mf1BnM6Ds7hYnEIhLFGuRajf+wSoIerwLCoVoAJUgArUo0A/Aerl+yY7AArwJCCFcO6J5VkSRK3PIQrLGuDNPLyhB0BZvnJNtuQDX5x3IBEAAhyFwMk+Pt9v5RGg6ulLjIUKUAEqQAWGSIF+ARTAyIYl+D69dG8nQOE8rFEyZRcKjSUqAFEnrp3MTrj0nnmHqMUX3Z0ETwCp9TvfM6/5JUANUYdnUakAFaACVKAeBfoFUDYswRcKcGQfE7hKASjcO6gQBZ8nvGUH/ybbyhTbXjW+iQBVT3NmLFSAClABKkAF+qNAvwDK9n8SSHr2NzZ3WKXmfjqSYVov9c08QNT6sRUGVGQ6Tz4+PB+WKFiSYqAUOwfwkqm/foe0QPWnrzEVKkAFqAAVOIoUmA+AguVJpucAUQCql+7dlM396EQDVEeeWJ4MUd/cNpktX7akBVGwZNkQ1S8YwedZYoCUcs4stDkPi2wSoI6iDs2iUAEqQAWoQH8U6BdA2UsYYA2op07Op/EEpJ55X+4PBSsUIOjId8dbkCXXhEIbogBPNkStmz2jL5adogC1bu06L3Bhvah+QZ+kQ4DqT19jKlSAClABKnAUKdAvgPr5gc7pOgCV+8bd4T+czOaeygFq7p9WZK/+1/Q1onwQdfYZWwykTO46uy9Qok3hPfB/359958GHMoGnc848K9s6Nd0BUvPhUE6AOoo6NItCBagAFaAC/VGgXwAFixOWKRBncQmxGjn8o+Tfd41ci2sw/Qdrlc8a5UKU/fHhfkFUaOmC3SefksnfTdfdkGEfALV8dNRsI8Q035btp/UF9sT6hJAA1Z++xlSoABWgAlTgKFIgBaDgp4R/H7TIMViTADhY68m1LMk1cA4XGEoNYYnyXYt0JF47/MLsZMuig+m8fkNUCkDBEgWAQvjYoUfNNixR+D/l7IsIUEdR/2JRqAAVoAJU4ChVIAZQxmr0/fEWwMBahGP4BwzB+Rv/mJ7DMViGYEHCf8hK9Pxvb/ZaolxIOvLjtrUqBFG2M7oNUQdO3tyCqEsv2t4JUWde2lNAKQJQmMqD5QkQBZjC/rs/9Nme5s+2PMn2mkvzNauuvPykVl3zW3hHaYdnsagAFaACVKAeBWIA5Vun6chD67wABMdwQJNYmQBRgCobbOxtATBYreAPBRADXNnghXMCVi//RQ5nsi9hKA0borBSOSxR69auMmC17byregYpRQBK3swDPOEPYS8ACnnSVjtHXghQ9fQpxkIFqAAVoAJDoEAMoGyAEWCRUHyXAE5yDNcDkmQfkGRDU9FtwBHSQXwAsuc/3j0FGJtadCHqwQdmM3xDD7DQK4gKAZTAkoTi84R9G6B2vv+TtcMdAWoIOjKLSAWoABWgAv1VIAZQ7ptzAkZH/mmFWfBSrD+wHMk5WJAEvEJTbEVACvEBngxEPTaWvfxA5ydhYgCFdPoJUSF4gr+T+3/Beb/ammaEM7lM42mWIpl2KxISoPrbp5gaFaACVIAKDIECMYACIAkMCSDNPb48m3ty1ADNq3+9oeUwLtN9sDoJ8IQcvYsAFK61Ae2I5ZOFPGkAhfv3bN3YghVM59mWqOnzP16LxQfgI9YlN3ThCfsf2XelgSrxg8I9OD71rt+qJT82YBGghqAjs4hUgApQASrQXwViACWgg7fqXn5gIrOduWUbU2ywEgnk2FN68GuSOKqGiMtYoR5tTxliP/TGn5ventmJFuDcf+/OFkQtHRnN1rz/lsrQEltIU6brEMo/wAn/ePMOMAWLlFy37l31+mjhu3yaZQsARx+o/vY9pkYFqAAVoAILWIEUgBIYmftfJ2ZHnhzN5v65vdilWKNe+ZuJ1jSeWKtS4Ubi10JYtOYOdQKUdo99XiAKflCwQsEaBXAARE1ecmsliAL0uJYnex+g5FqixPqEUCxSuGdkT7W82NYnbCNOAtQC7qTMOhWgAlSACgyeAkUAykzP/SSfvsP36gSUZMpO9hHW4f9kww+2jVP537cBCtYv9xptv1cQteHUC6IAZcOUvS0WKYQAKZxzAajqPgFq8Podc0QFqAAVoAILXIEiAAU4AUQd+c56A0/GGvWPK1qfXxGAwnSfBjJlz0saCOEPVSae0zatNaBSpyUqNoUHgBFQghUK1igcAzDhDTwck/Nr1ozXClCwZiEtAF4MxHANp/AWeGdm9qkAFaACVKB/ChQFKAALLEHwe4ID99w/rmxZogRuzJIDv11tCQMfGGFKUNJAOPfomAE637WxY4cmJ7KZ9WNeiFq+ck123CV/EoWNEIjEvoUn03ey3hOABcdk/yv3fMnkZ3rmpFJp+/KEaUV8nBhpwQ9q/em/HoybANW/PseUqAAVoAJU4ChQoAxACZwAomygwfbrL1yUvfHSF8xx+CzJUgdyT5UQwGanB4ACrCEfReN1IQoLbcICA5A4ce1ktuQDXwzChg9WcCw2jWcD1HPPPmfSkWPwf7r0kg8Yy1RdALX+zA+bNFAe+z/0sWIC1FHQmVkEKkAFqAAV6J8CVQBKgGbuH8Y6ljuAVeWtue9lrz07bRbCLAM4PiCSN/0Eoo78v2sNUJXxhUL8NkRNT601q5Xj+3kCUSdcek8hiEoFKOiDNDBtB3gCUGE6D0BVB0DJtJ0NTva2z6Ec5zmF179+x5SoABWgAlRggStQB0DJCuSy1ADgyUDUG08Yi1RdU3oSvwAU9mWl8rJO63VCVFGAArTABwo+UVjGoC6Aik0lIs21s2d0gSEBaoF3ZGafClABKkAF+qtACKAuOyVtWgzWp7m/H2tN1Rm/qCeWm2k8QNQvfvFq9vqLtxhLEVY291mWUo+5AAVoMm/mNT8nAwtValz2dd/cNpktX7bEWIV8lqjQlJ17vCxAYSVy/NcFUKvGN3VM2wGO7H/jF3XR3R0QRYDqb79jalSAClABKrDAFXAB6sar87WRlo8uzQAWNmj4tsUCZE+jwdkb+6//7AoDUACpN1/+assvyhdPyjGZMhQLlPg/YYoQ2/gvu/ZUDKLWeSw2LjwV8YGCHgI0mMLDX10ABeuSxB0LAVn2elMEqAXekZl9KkAFqAAV6K8CLkABTsQPCFYZDaLgKI573M+2wDJkzj13VvbWG08YSHjzyMHWtWWcy9238ASkYJl6/rotJm6AW5m4AXA2RO3eNWF8omCRAlxM7jq7w2LjA6jxqd1BeIF1CfFgyg7/2MYxTN0Bnm667obKFqgUeILfFdLGP97Mk3Jgnz5Q/e17TI0KUAEqQAUWsAI+gCoKUbGpMzPt9ux0BnjCH2BKnMvLgI77bT6BKFifjvx/a8104ivfnDBLLMBihX9MHSKP2NYsVDZEASTxdl4KRMW+hSfAIqFADBzHAVBYwgB/VafwQh8zBqDJIp1wWEeaBKgF3GmZdSpABagAFZh/BVyAmpkYy556ZI2x5px9xhbzoE2xRMWm4LD4JkDnzVf+qjJEmelBaxV0AagiIaxUgKlQngFRAjspEAV4gjVH7tFCsUYhlEU163Ii96X9+c/danTHUgmPHXq0ZQGzv7mH+2iBmv/+yBxQASpABajAAlHABSg8SAWibOtLVYgSPyU4lOOviiUKcYUsUUVAKra8woGTN7eAqAuizry0NfWFKbDY1J0PaGyAwjb+xUKElcht3ySZYksNfemJnxVCsXjhOns5AywgSoBaIJ2W2aQCVIAKUIH5V8AHUAJRgBEbotavWWnWTgpZbrTjPojCwptl/ZYQn0zT2eHzn9icHfnxchOv5AnXir+WQNar/zn+yRkfRK1bu8qA1aZ37W1BVIrvkQ9scEzWfxKowrH1Gze34k4FJ7nOl44NUEgHFilcZ4Pa6olZAtT8d0fmgApQASpABRaKAiGAwgP2wjNzB3EbomY2rK4EUWYKDm/ovXCReUMPyxy89txZXU7oAj5lQwAVQMldHwr+UAJQCLX4bYiChebBB2YzfEMP+mw77yoDOvhEig9c7GOYqnOtTXIePlEylYdjG7fsqBWgEDem78TShW2kI9CFkAC1UHos80kFqAAVoAIDoUAIoGRdJC9ErR+rBFFwHjfLHDQhSqbz3Df5NLjRzovvlevkjrQForQ4cN6GqNs+tasLokLO2wJICMVRHNOXsAjZ59ztsgDls4TBwmX/iwM70rR9oAhQA9EdmQkqQAWoABVYKAqEAOrgNetbi0v2E6Lw1l4K1KReAyhz14ey/adS47lsZqIFPS5EbTn9gtY5F4ZkX6bRAFCyjIH4Pck1Em6eLv5B4ZAVTOBJrF+wRok1DOlt/5WGsUQBoODrJWCJZRxwfqG0Y+aTClABKkAFqEBfFQgB1Mt3L858EHXo21OtKayZHlmiYDlKBZuU62Bxwj+uhS+UQIJ8giYlDlyzZ9YPUUtH2msrCQS5oQ+gAFPwRwLkwDIkoXsv4MiebvNtw5rk3hfbF5A65eyLWgAFaBJtCFB97YZMjApQASpABRaaAjGAEoiSB7FYomw/oHdsWVcJduzpPPN23muPGosRQCcVbLTrTBqPjRl/KHv6rkwaLkTdf+9OAy7HHndsFGBCAIUyY20m+CXZFikAFe7BApurTlzT4fDtA6j1Z344mr7UoRsSoBZaj2V+qQAVoAJUYCAU0AAKEHX7Jfl6UHj4XnXJrLFS2BC1Z8emSrDTgqjmEgdYdHPusfb39TRASjkPWJp7cqRlYXGdy1PikGtsiIIOmNKDNjGIigEUFrrE/d958CEDTNjHtix4OTo6mo1vmo1aofBGXWgtKpnGQxoAM9sPigA1EN2QmaACVIAKUIGFpkAKQLkQdfvHtndD1Gx8SQCBj1DoQtQbL33BrPUUur7M8bknR02+5354YunPvUi6AlF4Iy8FomIABf8kwA2m8+AfJZYoABTuA/AsWzaaaVN5IWd28X9CGtiGxQtpYRqPALXQeizzSwWoABWgAgOhQCpA9ROiZMXy139+bVaXUznexBP/Hli3BITKhocmJ7KZdWMGfFyIOu74481xAIv8pwAUrgFAAWwQyh+gB1C1FKudX3R30BKVClBIB1ODSIMANRDdkJmgAlSAClCBhaZAEYAKQZT4AQEWYJkpCyW4z0y1PbHcfDsPa0RhvajYZ1dS0zLf5HtmxEwNYgHNKlN4kqaBqPVpEFUEoOxrAVH4/Aq0hRUKSxX4fKBwLBWgAGSwahGgFlpvZX6pABWgAlRgYBQoClAhiBI/IDzoL9tZzQEcEPXaT7aZz72YNaJ+uKPylJsAFMBJpgvd9aEEjIqEPoi68eqmT9Sxbcdy+DUBjPAvvk04hn+ZssM5QI0LUIAoHAP0jIws6/gEiw1TqQAFCxfqiQA1MN2QGaECVIAKUIGFpkAZgAJEfeis9gd3b79hp5kesyHqwGlbKluiXnt22qxWDqdy7bMrGvTICuQCTWZF9MfGMoTavdp5G6LwqRes3I41lQApo6OdHxkWWMI59x8whQU3fQAFiMK9cCgfW7vJa4XyARTukX+kZ6dPgFpovZX5pQJUgApQgYFRoCxAAaL2nNZeF+nBP5vphqiTq63nhPWgMIWHP3yEWOBHAxrfeWPVemakYzoQU4OyPpTvniLHAFGyevv01NoWRG2a2NQBUZg+c8HJ3QdIYdrO/QPwiEP5hlMv6ICoFefd7H0LD8AEixPuE5DCNtLE0gn0gRqYrsiMUAEqQAWowEJSoApA2RAFeOgFRGHqDfBkvpn35DmVpvJ8C3TiGOCqCCyFrv3mtkkVojSAkuk1AA6m+lyQwjEAEBzK5WPAsSUMkB4sWgjlX/aRBixaU+/9bfMtPC6kuZB6LvNKBagAFaAC86pAVYAKQZT4AeEhjW/JhaAj5Tg+x4JpvLdee7TyVF5KelWuCUHU+nXrVcsTtHIBC/v2H5YgEAvS+NRuY4UCQOFe3z+ADNCFUP5heRKIwjF8OgafciFAzWtXZOJUgApQASqwkBSoA6C6IOov8+k88QOqClFw+n7tBzuNUznWh6rjrbwqkKTd64Oos8/Yks1snfFCjg0+to8SjrsABZjCGk5yz9h7rzFO5bLvhogPsCT/iA8Ahn+Z3jvt37yHALWQOi3zSgWoABWgAvOvQF0A5ULUQ/d3Q9S3dpe3RBmIeuqi7BdvPZ+99qN3VZrK0wCojvM2RAEk4VgO36iTd+Zv6LmgE9sH9ACaYH2SPxzDPStWrTFrQ4VWIffFCwsU4pPpwI0btxCg5r8rMgdUgApQASqwkBSoE6B+cttoNrMxXxcJPlEuROEYwKIsoMBXCRYoTOXVtcBm2byk3Hdgtv2mog+i4CwOy5D7HTwbemApAiyJ5Qj3AH7wqRe5bv1OWJC2tfblOELchzTggC7biEMcypE2rkMceINQFhvlx4QXUi9mXqkAFaACVKDvCtQJULBC2RA1MzGWPfXIGvNQlum8qhAFp++35r6Xvf7MtbUsQeCCEJY7wErlc08sz+B7BcuXe02Rffh/CdD4IAqABEsQli+Qb+HBLwn34JxsYx/gI/84h3+JOxQKNNkAJdsCTxu37MjWn3qBiYsA1fcuyASpABWgAlRgISpQN0D1A6Je+U+7jT8UwiIwo11rf+5FQOLIQxsqpxGCqC2TOVwBigSYBKbw9h2gCn/y7TqZcvPBVBGAEh8qSXf36e8mQC3Ezss8UwEqQAWowPwp0AuA6oao1cYHSPyADCxUmM6DVej1H+7N3nz5q7U6lGOxTgEnO9TAK+W8DVGXXrS95RM1sWGjsTLJNJ44kduWKZyzlzOApQrTcmKdknt8EOWzQOFeXItzCN97/gcJUPPXBZkyFaACVIAKLEQFegVQLkRt3eSHKCxAmQIg7jXGH+rwf8jmvvvuUve78WEfU3Y2OMm279oyx67f2Z7Ow6rth749leFDxIAoARpADSxPso9Q3pazIUqcycWXCdf5/nHe9YESgBLwIkAtxJ7LPFMBKkAFqMC8KtBLgBKIgt8THu4+iJrZsDorC1E/+8zJtVqhsDyCQJOEdXx02IYtfGxZQAcQ9eADswaisGK5gBJ8lHCNgA6m8OQeABam8nBOzqf4Qsn9Ak2yjxAAdeq/u8ykIeWmE/m8dksmTgWoABWgAoOuQK8BChB18Jr1rRW63zG73kCKPZ03s36sNEQd+dtTsqp+SvgeHpzHYYGC87iBiGenTYhjOFfXauWAqRBEnbR9h4EYF6BgbQLo4LiAkw+EbCiytwFd8o/pQEz94X4Br+27Ts+2//J7CVCD3lmZPypABagAFRgcBfoBUC5EXXhmPlVWB0TBHwpvzZVZXBP3AL7E6tIKnzvLLJfQ2n9mxFyDdHyfg7EtTKnbfohakq0dX9vybRILkwCUTNshlHM2KIW2BZ4Q4j57371HykwL1OD0UeaEClABKkAFBlCBfgFUF0SdvcVAifgB4UFe1hIlIJQKL4CukMM4vrv3+s+uMFODcFJ/rWmJErBAiA8Qw2qVml7oOhui7r93Z3M6L4co6IGpOoRVAQrWJvzD8oQ4EQpEEaAGsFMyS1SAClABKjD4CvQToFyIuuCcHKLED0ggKgQcseNYWDPFCmUsVt8f77Y6Na1MAkyAKBua3G1M9dUxrTezLl94FM7k0AEgBR3sKbqqAOVCkuzLFJ7sI5Ry0gI1+H2XOaQCVIAKUIF5VKDfAJUCUXt2lLPupDh8hyxPAg4mfO4sY4HqOCaAZYWAKABZDOwAWYA7rDHluw4O9LC8AV4EouBcjn2BKBugsIQB3tKDBckGH21bfKdkCk/idu+TMhOg5rFTMmkqQAWoABUYfAXmA6AAUV+6vP2ZE58lCtNbPuCIHdMsQoAYsSy9/vNrW9Nzbx45aCwvr79wUYYpPFihzPTdMyMZrjPXYhvnmseMperZ6Sy2mKe7LAKm/nzApUGUTOUBnAA+WAjzputuSAYoWJpc4JK1pRCXfY4ANfh9ljmkAlSAClCBAVBgvgAKEHX7JVtaEHBjY7uBE3s6rwxExQALDuP4lp6BhCfPyeb+7mTjRI61pGC9gqXoxXtO6QpxzFiuHtlrrn/9yRy+BK58/lCYThQYsUNAlS+PMYhaunSp0QnQA9jBn7yp51qQfPtyj3yMGFYorEIOGMM5ATTcK3mlBWoAOiezQAWoABWgAoOrwHwClAtRt9+w0zzAxQ8ID/S6IArWKQAUQAlhHf+AKonTtSwBxgRG7BDX+wAKx2yImp5aa1Yrl+k8QJQ4gZcBKMCT3C/LIdiWJwEvOPUjvwSowe2zzBkVoAJUgAoMgALzDVAhiBJwqAuisPyADTJ1bsMXyrVCYe0oXxpH/ufqIEABor65bbK1ZpZA1I1X78qWLVuWLVs2YqxGgKGiFij7egEoWKIEnCQEvBKgBqBjMgtUgApQASow2AoMAkClQNSB07ZEwSNk1bGP+4CmjmOwNtnpYNu87SeLclqO50hPW0vKB1Hnn7u1BVGwJMnnXgR8tJAANdj9kLmjAlSAClCBBabAoAAUIOqmC9s+UTKdZ1ui8EFeF1SK7GP6rA5gcuMIAZFMG+L6Iw5MvfzARGvV87kfrOkqVwyiAEuht+hCIOUCFPyebN8nuY8WqAXWgZldKkAFqAAVmB8FBgmgAFF7Tmt/K+72391lgKcuiEpawsCxFrmw5NsPLVHgwp37Vt7Lf9H2k3Kvxb4NUfBJQtqwRIlTuUBPSkiAmp/+xVSpABWgAlTgKFVg0ADKhih8hPih+2cMOMAPSEChrCUK02p4O87+94FL7BisSnI/wMn1fYrdi3NH/uealhVs7p+XmW34UIXu+9pse7kHwFNZiDKv7mVZ9tihRzu+qSeaSkgL1FHa0VksKkAFqAAVqFeBQQSoEEQBIORBXxaiQqDSj+OY6gMsvfzAphZEAYj+5av5wqEAPB+QoaxS7lSIwtpP9jQfLFDyB+dx7NOJvN6+xNioABWgAlRgiBRYt3bVj2R6CA9zeVADYub7X6bzbEuUDVHf2l3NJ6of0GSngSlEfJAYb+JBa/kHVB35bvvzMi/e2+2U7kKUfIhZpvMAS1hcEyGczOUzLQJScgxLF/iWL5B6pwVqiDo/i0oFqAAVoALlFZjYsPrxQQUozRK1fHSJ8ROyIWWQt20fqLmnR7K5f1zZhqifjGb/8pe5T9SRn4x6p/RCELVkyQkGfOUTL7AsCSgBnABV9r/Aki8kQJXvS7yTClABKkAFhkiBOgHqm3euyx78w7HsibuXZt+7a1X26N3LW1YsOeYeT7FynTa91gACgAkrlcNyI5YoWKfgbF0VnELTZ1Xjte9HGi9+aVN2+A8nzTIHT184mc39yIKop3Or1JG/Wxssjw1RcK4XS9SKFSuy0eYnW2yAEpCSUM7hDTxAFSAKViqsM4VtAtQQdX4WlQpQASpABcorUAWgnvvCCRmg6fO3T2Wn37wr+1c37k7+/43P7ugArBhI/eS20WxmY/7BXUCUrJZdN0TBQoQpNqxWnvpmnQ1IRbcxpWeWM/h+e/oOcAiwQlxwVvd932/P1AYDOwAeG6JWrVpljou1CdYnAScJBaAkRBw49wd3fpEAVb4b8U4qQAWoABUYNgXKAhTg6YJP70wGJh9cjf3uKdmf3bGxZaVKhaitm1Yby4tYX4wVpSZLlLtWFPaxqrgPZIoCk3s9YOnIf1+fzT3V9ofCsblHxjrWjfrZJ7t9vfCJG5TbB1Frx9e2/KAEpmBlwj9gCWClAZTA6bD1B5aXClABKkAFqECSAmUBChYkHxSVOYZpvRg8yTnbEhWCKHxPzgWVIvvGCuUsegmoMWDz2FiG87BOYXoyjbQAACAASURBVDquSLy+a+E83or7pyPZ3JOj7f2/H8uOfHet2X/1r/3fz3MhSj7EDEvUeef+u0w++QJYwoeIxZHchioAGPavueamDgvUlZefZPaTGhEvogJUgApQASowbAqUAShM25UBpdA9Hz0wm+H/nt/fbP4Rv0CTG2oQNbNxtfkorw9YUo5h2szAkgU3Ajl2CJBKiS92DZYseP4Tm7PnP55bmF788mQ29xMLoprg9uwHuy1QEq8NUfBfEohaunTEQJQsXSBhCKrG14wToIat87O8VIAKUAEqUF6BMgAF2AnBUJ3HkQ6mCqMQtXlN13TezPqxShAFPygblnzb9uKXvrWbBHBSQ1i0EOfPP7e5A6LkjTykAbjzpfXu6dwnanR0qQGoHKKWZCMjy7J9e/cJOwVDQNW73/VeAlT5bsQ7qQAVoAJUYNgUKANQeLuuTlCKxRXykTp4zfoMb+BhCmprzRCFBS990OQeE0dzHIevlOynQpN9nVi+jnyv06HcxG05mWP1cvs+bGPaEtAILVyIWjY6mh347IEgPMmJD37gQwSoYev8LC8VoAJUgAqUV6AMQMEiVPc0Xgii4GvlWqBk34aoU3fkHwrGG3qACMBEWUuUWIMEmOa+P9768K8cQyjTeK1jz52VvfbDHVno48Iu+Nj7cFJvxQNHcscK9sq3JlrO5vZ9sq1B1Oc/d6thJawVZf/hOD7v8ulP30aAKt+NeCcVoAJUgAoMmwJlAQoQgzWfADh4my4EQFWPI26sISXQ5IY2RF1wzhYDIeIHJBAlkFEkPHyXAzQenyiZxhPwef1nV2Svv3iLyQMAqChIiU+UOKi7K5YjnbmfjnRZoKRcLkQBJuVDzKtWnWgcyfEmHtaAwh/gCRrhGAFq2Ho+y0sFqAAVoAKVFKgCUAIz8FOqCkqx+7HG1M23zgSdzDWIunBX/q05AY2UEBAjYBQL7ek+ANRbrz3auu/1n19rLEmYnktJ074G8QLQ7PiRjyMPrjNxIU6cE9iSe22Imp5aa/zDBKJOOOGEDBYovHWHv3POPMu8mQeIEh8ovH2HdPgWXqVuxZupABWgAlTgaFegDoCChaiXVigXrpCW61zeAVHvmTYQYFui8LaaQEZqiCk6HzzZ02tYDLN1zbPTBkxew1TeMyPZm0cOts7hOhd2YvmABQzpwIm8Fb+1nIIcm/vB6q5yfWd6U8s/zIWo5ctXtAAKa0Jh+g4AtWPHThMSoI72Hs/yUQEqQAWoQC0KlAUorN0EB29ZesC3LhRAB+d951woKrqPRTzd9aMAUYAB/F9QA0RhSk1AxQ4BNjZE2edAUG++8lfmPlijXn/hIrP9xktfMBalVEdzLN4p8eK7eUf+W+7jJcde+noOd3NP+qf08HkbcbJ3IWrJkiXZdx58yCyqifxifSgCVC3diZFQASpABajAsChQBKBgacJUWhFrE0BHvolX9HMvKVCFz8jY1qjbL9nSBVFYH0nAqqglqsPC1LQAAWIMRHn8ogAkb73xhIEfgJTAlIS495Vvvq/LauSzRsGxXJYtwPbcP61oQZWAVOy7eS5E4R6Zzlu/YcKAE/ILSxQBalh6PMtJBagAFaACtSiQClBV37qDFQoWI7FYXXvNbHbl72zPfv/qrcaSlQJLoWsQp/hjIbQh6sYrc58eAQeAVBGIgsVIYMUXwk/JPg54wh+OvfnyV7NfvPW82X5r7ntZa2rv5a9mRaf0cD2mFF/9Lxs70nvhunxtKFis8O+CmA1R+DwL8iWfaYEWWAOKAFVLV2IkVIAKUAEqMEwKpAAU3rYLwUuR4/bbdH979UR2969tzf5y71T2sz84IfvwtSeVTgMLbtoA5ULU7TfsNOBgQ9Tn3jndBRsufMh+aLoOMAKAwjIHLYh6djr7xS9eNfsAKPxhGg/b+DdghSm+Z6fNfal+USYdnz/UjzsB7qU/7V4hHRAlFjgXotaMr2tO4Z1srqEP1DD1fpaVClABKkAFSiuQAlDwdSoCSr5r/+Pvb+iAnNt/bSr7yLumsq9cNp198QPTBqY+95szhdPBdKJMEUYh6nd3dUHUgZO7LTYCTXaIabSQQ7kPogSU8FaeAagXb8ngAyXWKJzHG3oGun6wM8m53E5/7kerslf/pu2fZeDqe6tNfKHv5h2YDUMU4GrHDgJU6U7EG6kAFaACVGD4FEgBKPgYVXEE33r9Kdlf7Xem2ZoABSuU/P/Nb09mX7xqOvvgx3YmgZTPkbxXEAWgwnTe609fYd6uM+s9PZu/7eeDKANHz51lrFEGmASmxBrVfEMPYAU4soEtZdu8pfejlTmEWb5Zse/mARhDlqglS/LFR2mBGr4xgCWmAlSAClCBEgqkABSgBFYecQKH1QfTevA9AsTYFidcg2sxXQe/qW03nJJ9qrE9+73zpzMAEqbrEN8nzs0tUDY8HfrU6hZMIY7f/b1t2a9cs6sjfoAc0nZBKbb/obPa1pfbm5aoG6/e1YKJVEsUHLmNT9QPdhrncFiX8KYdIMhMyT2x3HzSxcBTE2pwzgYo7MMy1WGNeuEir/9SCKRkjarnr9uSzVkQhUU2kUesDwXAQujGYUMUpjSR1927JlpaEKBKdCLeQgWoABWgAsOnQCpACaAAbOStN4R4C84GKAAVwEogR6Do8jO3ZB84fbOZrsO03b/dlftAAaAevmmtASuZyvv6h6fMMYErHP9fn1lVCJokvxLuOa0NCQJRtjN1CkTJ6uTm0y7fHze+TQAoA1J4865pkcJ38QSizOrkmK5rrhGFtaFkag9O5bBkAbAwDSdv3LnQ4+7Ld/Pm/nmklY6kN/fDE7Mj8MtqOrc//3Edon56aDzDUgewThGghm8MYImpABWgAlSghAJFAQpAAnCC47YNTr5tLHmA6+EoDhgCQAGc8A//JxueAE0CTHYI2Prx51ZUgicXorA+0kP3zxj4sCHq67u7YcOGF1h+BEwEWBACiABGeNMOFiYAlA1RAlZisYJTOf4AT7hXlj1Incoz+fjhiSb/sDq98jcbsrkfrGnBlAG8p3O4evpC//TgVTvaVjlYogSiCFAlOhFvoQJUgApQgeFToChAAZ7caTsfPMkxwItYoWww0uAJVie8qffInavN8geYDgSQYQoP8AYLF5ZFcBfTFFgKhWKJ8kHU8tElGd5Ys6HJ3RYrFCDIOII3Vx23gUq2AUQ2cBnIan7qBQCFtaFsaxTuS7VCufma+4exjuk8xBX7bh7ux3IO4hMlEIU1s3AvQArnhq9HsMRUgApQASpABRIUKApQABaBo5QQPk+YonPhCRaob39io3kLT87BQgVnc0zXFVl3Cj5ZACt7mYQQQOF4C6JGl2T43AuAQSxRAKsYRHVYoZ47K7c8vfGECY1/0wv5yuOIE/9Yv6kFUc9Ot76VJ9YomdrDvbj+pXvjAOeCE/bh64Q0nv/4pIEmSfu1H56YwQIF6EO8vlXQBaJGR5e2tMD9BKiEzsNLqAAVoAJUYHgVKApQ8IFKASdcg7fpYEkS3yYBJYRnzW7ogCrs33nJlJmqg5WryGrnkh/4Y8XAyT5XBaLsz6wYWHl2urVMAcAI60AJEOG8mVJr+iSZt/eeGcFlnTCFhTabK5z7ICl2TKxiJi/WG3kmvv+9ojWdOPfkMq91zQdRBKjhHRNYcipABagAFUhQoChAAUIwfSbO4rKyOCxA+P/wp3Zk7/vETrPKuA1M7vaeUydbAAWfqJt+tQ0/iFOgqGjoW1TTBifZ/slto9nMxjEzTYWpO1iixA8IU1eaJcosrtkEJ0zNifVJFs2Eczl8omS9J3E8F8hxp/Nk8U2cLzqNZz7z8sMTM3wzb+4fV2Yv3LQ5m7MW2MTnXgxMPeX/bh7g7N2zG+lEntBfeAkVoAJUgApQAaNAGYASCAmFmIZzgcndFydyTNvhDT1Z3gBxAsSKgpNcj3tD+XKPuxB16NtTXRD1nelNXquNvAknQATLUuuNvNcezZcu+Pm1rY8J4zoznSerljen/3Bc/iQuxB2zOGnncP+RH7ffxJN4Y9/Nu+r0KQIUxwQqQAWoABWgAqkK9AKgAEO+aTsXorA21Ht3TmQf/6XN2VW7JrPPnbE9u+28rcb/qYijusATpv1cSNL2bYjaumm1ASjbEjWzcXV2aHLCCzQAIsAJHMGNpQnLGACMXvkrs86TgJH5Dl7z0y14O08+DSPWKblOQMf3TTsNmuzz8t28lx/I8yfxxt7yu2pmEwEqtdPwOipABagAFaACvQAoQMv/uG69aoWC39N9Z28xcALH7Q+dtivbMzWRfeTs2exb123Klt54SoclCoBk+0Zh0U5M98HqhKk7+GdpwOQ7r0LU+jEvRNkO5WbqrrmUgSyciWOY2sO+mc578ZbcH+r74x3fzwNw4U9ABz5NNhAV3e5YQsHxiQo5qROgOBZQASpABagAFSigQJ0A9Q9/enx27zfGsgPfWJf9+VfGowCFqTv8f/XaD2ZXnHtW9utnnp7ddP0N2b2f/p3swJ5Zc++dH5zJ7vzNGbMOFN6wg3M5/u3lC5CmD4qKHrMhampyTbclKgBR7lQe3qoz03lvPGGgCNN6ACSBKkAS/KEAOWLBwj2yMjnOVwUo81beo2MZFtp89a8nzFt6AmcIfSuUE6AKdBpeSgWoABWgAlSgLoD61l+szN7z51s6/t0pO9m/9tzOlcjluBvCl8r2jRIo+h9fPz674RsbOtK65C8mDbxVAaqH71qVrVqz0kxlbdmcQxT8ovCKPxzLZwIQ1Xorr7myOKbxACoth/ImTIGosGgmAAvLDtiO5QAsgZyqAOWzWAGaJH7Am3sNAYpjARWgAlSAClCBAgrUAVCwOrnwhP17rpg2K45jqu629+UfDUZ42tS6qHUKIAUfKvsDxAAjQJoLTr50YQErClKPf2VxBgg785Yd2ZImMAlE4Q09DaLgX2QA5dnpfMpOHMl/dkULXABUxl8KPlPN9aIEpARuEFZ1InfhSPYBeoAnWqAKdBBeSgWoABWgAlTAp0AVgHr6S4ujQPPZi/L1nuxPt9hWJjiRYxoPn2vBquNYWPPbn16f/eCPVxpYApilAJMPonAsFaQEniQeG6Le+Us5GNkQdeEu/5t5LYiC35G7NtRbz5u39MyU3stfNSAl0ASIgm+S7GNZAoGefoW0QPl6B49RASpABagAFQgoUBagfvC1JcZiI9DhC7E8AeBpx6Y1GWDJhiccf+8vb85uuW0q23/vedmKm/86W3LDQ9myT/5ttun2P87e8cUrvFYtXzrasRhIufAkcdkQ9avnbDFwY0MUFp/0wU1rOs9y3obVCX5QmL6z/2Q6D+AEiBKfKF+8vT5GgAp0EB6mAlSAClABKuBToChAYWoMQCKgEQsBTFgwEyBlwxOO/ebHZrvi+KUvXWLgCSDVC5i66xvjGaxm4kv1sz85NmrhKgtRZmFLWe/JAimxMMXCXvg/pcAXAcrXO3iMClABKkAFqEBAgRSAAmjAcTsVnASqsFgmLE3yD4iCD9Sed3Y6m8v1Ep7ztd3Z9rtvalml6oYpTA3C8pQyPeiDKHxwVz7CG7JEAVrgaxRbUsAGKTiUw3oFS5TPRykFgqpcQ4AKdBAepgJUgApQASrgUyAEUHDY/sY3VhWGJoEghLbVSbYBULft3dplfbLvs7ddq1TdMGWnFdo+/eodLWCS6bzbPrWrdSwGUYAarBeFD/nCumT/A5jgMI7zAj/GevXE8iy26KVcW2dIgPL1Dh6jAlSAClABKhBQIARQIZgoclygqSu8NB2gJD2fVQowBd+pLXfckZ3xlfOToUziLBKe2rAg6j1TxifKhqgbTs8XBK0DauYDoghQgQ7Cw1SAClABKkAFfArMC0D92tbs/V+LT+PF4MZnleoHTNkQdeC6k7og6sDJ1b5hZ8OXQBQcy20LlX1NndsEKF/v4DEqQAWoABWgAgEFegVQe7/U+dada4X6xF0zlS1GsErN3HlLh68UQMqGqbP+w9mV07Fhrp8QhWk/84be98d7DlEEqEAH4WEqQAWoABWgAj4FegVQ//7mGa8PlIDU528sPo1ng4y7jWUPxm+918CTQJSEKz/zH41Tel0w5YOoG69u+0TVaYmSFcThZA6rVJ1WJzsuApSvd/AYFaACVIAKUIGAAr0AKEzP/dGl+crjAkxuiPNVpvFcgJJ9QFLIKmVbpqr6TPkg6vxzt7Ycy3sCUU8s7xlEbVu9yuT9y3fsMlavKy8/yewHmg0PUwEqQAWoABUYbgUAUOvWrjIPTUwXzUyMmQcnXt8XKCka/sHvdMMTljRwIeozt1SfxovlDVYpLMoplig3hAN6lQU7t5w51Qampk+UDVFf312fT5Ssco5lDjC1Z1uPqm5/Z3pTqxw/PTRu2sKlF20nQA330MDSUwEqQAWoQEwBABTWNJI1iS48c9I8OE++dHthgIJFSeAJi2UKMOHjwVhME59tkW/i4fzvva83VigXqmCRcuFJ9rHyuXt9kX0bor58IHcsF4haPro0++a2+qbdZKVy1FWda0Xt2bzB1DnyLe1gemptNjJywhuxtsNzVIAKUAEqQAWGVoEtk2seAUAd+nb+av7tH8stD2OT44XA4oY7tmZ3N6ftAEr26uOAJbP+U/NDwtjGp12wwOYd19TrCwX4wTQeLEtY3kA+ESPAJCH8onC+Dr8ogaiRZUuzB/9sxkBIC6KWLakNovA23txjYyb+utaJAuDJoqBYIBQAhbaAY5s3jz89tB2DBacCVIAKUAEqEFNg7ZqVt+JhCSdoPDyfemRNNrpsiXmAnnHjSSpEfeSPt7asTrA4AZYAUNiG5UlWIxdrFMBpat2YASoAFK4BfBWx+rjXYlkDrFwOJ/IQMOE4pvNO/uOra4EmNw/9giizvEFNb+UdmpzIZtblU7a29Un8n2Zn1t4Tazs8RwWoABWgAlRgaBVYtGjRJADK9oP6yMUzBqBghXr3l8J+SpfeO5XddVnb3+nCX96cXbp3u4EngNJpU+uy07auy+7cn8MUYAkg9an3bc3Omt3QgqsPnrElw7IHLpSE9mFdwrTc2L//8+DUHCxNgCaAVR1WplBe7OMuRMGfCFNh0Hd5jZaoqj5PuN/A09oTTd5Q9+L7hHB0dKk5ftxxxy0f2o7BglMBKkAFqAAV0BQ49rhFP8ZDHitrixVq3eoV5iEKKLAhwd0GRMEZXNZ1MlN5v7a1BUf7b5o1b9t97rKtLcsUrsV1d12ewxfA6vZrwqBmpwmfJZmGi4W4DutE2ff2Y3vd9tyfSKbzXIiCw3YdAFQlDtvyBFh68IFZU++o+7PP2GLqfenS4/9Uazc8TwWoABWgAlRgqBVYtGjRxQAoPEzFEgFfHhzDvwZRNpj8yXXtBTSxFpScw1SfTONhG8fhdI5r7vjojAnl2liIKTj4L8XgSc4BojBtB4tV1WULYnmyz8FiB8sddPNB1MzG1cb6UwWAqtz7tdnJbH0Tjl14kqm7Y49d/CKtT0M9JLDwVIAKUAEqkKrAsccuOoiHPqacBKLEoRzHAQXn3Km/mXfzHblPlG+Jgltv3pr94e/U8+YdrEviKJ4KVAArTPsBqjAFCN+pXkzvdUDU6FLjV2ZbombWj/UdomB1umxn22Ec9SwvDsDyJPCEul68ePF7UtsNr6MCVIAKUAEqMNQKvO1tb3vb4sWLDrsQBUuUOJXj3I73z0b9omxrTD+3ywKVWKsAYXBCB1jBygW4qpJ/G6I2TK6ZN4gCOF21a7PxwcrhaFGGNZ4EkhHKG4M4D2vkUHcEFp4KUAEqQAWoQFEFmg7lBqKmNo+/Kb4xeDPvnN0TrSm9JaNLs5lztyZZpKpASJV7qwKVgBWmAWG1wpIHRa1WPoiC1UectHtpifrC7GR24a72ApmAo927JjJZqgBWJ2yPj698qwlWhwlPRXsMr6cCVIAKUAEq0FQgh6i3m8U1ly1b8pYsb2AeuHfNZqdsW9cCKTx4MbWHRTerrFxeBZRS760LqASsUqcDfRAFMK0TorCWE4DpqtOnsndMddaPD5wAcbbVafHiRQ+j3tkJqAAVoAJUgApQgQoK5NN5b7+vaZkwSxx0WC7ums3Oe+dktqy5XpRct2J8ZTbxjkkDVClrSKXCTy+ug1M5fKFS3+qzwSm2bVusZM0pDaIuPMW/Wjmm3+D0jf8DTUACJL1r50T2jul12fo1KztgVuoBIXycAL+2nxPq0AGnw8ce+/ZGhabCW6kAFaACVIAKUAFXgebbeWZKTx7KstQBLFJP/f/j2Zc+OZud/87JDj8p+0EOqMKr/fiH/5T8n371jgyQNQigBWd0wFQMjKqcM4t4fubz2dhEvsSB+ETZlqh3z27MLUib12Z4U8/WUNvGOk6YnoMjOD4GLP5NqCMAFEBK1qNCXHjLbvHixdcDlN065z4VoAJUgApQASpQgwK5NWrx9flDN1/WANNPsGTgYY2HtPw/+NWt2e0fnc0uO3cqO3WmeypJAwGBLVixAFqYGgRgwYLTCyuUGyem+WA10hboLAtTKz/2n7IT1282cLRh07hxLLchytUHOgOM8A/HbwCSQBKsSbZ1SeoA8IR6wfU2NDXjxlTdxQSnGjoGo6ACVIAKUAEqkKJAC6Sai27Kwx4PeSy+CCuHOJ3Lwxzh3/+3zdn9d81m9985m930m9syrHL+kT3T2YVnTGbv2IaVytd2vCEm8bohHNfFigXrVa+hCssbwHG8rim+8cv/KJv8ld9qARTKt2lT/nYeYAgaChz5dLQ1lW3AEu6F9gBaDzBlxx1/7COYpuO6TimtnNdQASpABagAFeihAlgnaPHiRfcce9zil1zQwT4sJnigAwjwgMe/PPRj4U//+7iBrS9/ersBrcv+7ZSBLHsZBTs9OLDjbcBeTgPCKoW378qA1MRFn8w2nX5+tvzEfGFNO+9nnropu+nyWWOF8mkCiIJusCaJ5QmaQlsfKEncS0eO/7tFixbdijqipamHnYBRUwEqQAWoABWookD+1t7i6xcvfvt9xx137L/IgzwUulNS8KlKgSxjbblrNvvIr28zUOXGDwsVVkyHdcqdmqtjHyCl+Ulhim7T+R/N1s+eni0ZWdbhxwSH+/PP3JwBDm0fJYASNMCUG7SBP5NbNt/+6OiS7+aLny6+HtNyfIuuSivmvVSAClABKkAF5lkBTBUdd9zbd8NJGZYQPOSXLDn+aR8EhI4JZMHygukpAJYNHWKxuf+PtmewUsmnSSQ+galeWKbgcG5bo2xokvQl3LJpTXbZr05nWIxU8gxgQplQRlnKQK6XcHzNysdWr17x0PLlS38POkLP/J8f953n5s3kqQAVoAJUgAr0XwFMKQkMwC/HhqwTV448LAARCsXfCmDl+gnB1wpTYjMTYx0WHDimwxm9Tp8pWKOm3t8wliY3ryfPrs9u3DubHfp/trSgSZy6fdal0dElPxoZOf5OTLnRT6n/bZIpUgEqQAWoABU4ahTAdJRtxcJ0lQsq2BegwhSYbaECTMEyta750VxcK1aplO/5hab8sFgopgkRl52f00/dlN3+iR0deQDgYVrOtTKNjJzw7NKlx/8pfZSOmubKglABKkAFqAAVGGwFAFbNtanuAYjYEINtvMnmwhQ+iIy3/exrAUFFVk6HXxXeALTjmJhck338tzotTYA4TM+5libkFdOZ9FMa7PbF3FEBKkAFqAAVGAoFACSYClyxYuSfbLjBNt5Ys9/+gx/ShWdOdkAQoCjmJ3VqY0eGKUCJe+no0uycM7dkD/5l26cJvk1IB+nJdQiPP+G4V2FpgiVtKCqDhaQCVIAKUAEqQAUWngLwH4Iv0bJlS563QQbWIFiFZIoP03s+kLLf3gNUYYkEiefENSuz3/j17iUHYO1ylxQYGTnhH7hY5cJrP8wxFaACVIAKUIGhVwD+Ra5TOnyRYCWS1bvxGRos6ml/zw/WJqyCLuA0Mroku/Gj21vO4LA2AcTgxG77Ni1ZcvwcrE2cohv6pkcBqAAVoAJUgAosfAVglVqxYtmfCxBJ2AFSj6zJ9l88k612Psz7GxfPdCxyCfByp+lg7cIUIhesXPhthSWgAlSAClABKkAFHAUAOFhTCZYigSiEsCTJ1B6sSwc+tj3DCuGY5pN1m3z+TbBuYZrOSYa7VIAKUAEqQAWoABU4+hTwgRSm4lyQEsdwLHZpAxc+k0Kn8KOvXbBEVIAKUAEqQAWoQIICACks4ok35QSQxEcKMOU6hudv03EV8ARpeQkVoAJUgApQASowDApgKs63plQTrO7h6uDD0ApYRipABagAFaACVKCUAniDbu2albfin8sQlJKQN1EBKkAFqAAVoAJUgApQASpABagAFaACVIAKUAEqQAWoABWgAlSAClABKkAFqAAVoAJUgApQASpABagAFaACVIAKUAEqQAWoABWgAlSAClABKkAFqAAVoAJUgApQASpABagAFaACVIAKUAEqQAWoABWgAlSAClABKkAFqMCgKLB/f+Pi/fsb14f+r2o0dg9KXgctH41GY3lIt+bxefsoq1avyPug6Xm05yehvVx/tGvA8lEBKlCfAhxT6tOyVEz79zUO7t93RRb839/goB5QFnAZ1M1o2jgYuLXnh7V6JRj3vAq6EtDbyxVZ1008QAWoABUIKMAxJSBMvw5rD1pYUvqVl4WWjt54jz6A2r+v8XAcGq/I9u1r3LrQ6rIf+dXbCwGqH/XANMIKNBqNySv3Ne7Zv2/v4byfNx5Hf240Gm8L38Uz86UAx5Sm8mi42oMJ5+ueeiFAlW/6euM9ugBq//5GQ2+jjYfLK3p036m3l6MfoMzUdsziXec5/vgr1KHMtH9Q/8bjhKhCcvblYo4pTZlB+frDqf5f9wSo8u1cb7xHD0CZufbWr9LQlG/jYQ6y4faktxcCVMoYmHwNASrcGJ0z6Ldtq1Owf8+bS4KTXe42FeCY0hRi/77GqKtgDgAAIABJREFU42kDQ+PxOlsPAaq8mnrjPXoAav++xn3x9rn3MKyo5dU8+u/U2wsBKt7GQg/2wHECVHKnSrMu1z8DkpxBXuhVgGPKMccckyKCPbDU+aAiQHnbZdJBvd6ODoDSy2kGVsKT0mpSdFSiWPCnOYU3mFWYWi9ow4NZguHMFceUY445JnfaC/yK8sxJ1+mkS4Aq3/H0xrvwASo37SvW0f2NeVuuoXzt9f9Ovb3QAmX/UKy8TQtUciMnQCVLNVAXckw55phj9LlnF672Hq6rFglQ5ZXUG+/CByh1YOVDKrkB6e2FAFUZmuwfnGybyW0z7kDefv7QxzFZ0r5cOPRjypWNxnvKDBq4r44aIkCVV1FvvAsboHLH8fbg6bZTWE7Lqzd8d+rthQDltrFK+wSo5E6W4kTO/p4sZ98uHPoxpej0nQwodTVmAlT5tq433oUNUPG2wTfuirYcvb0QoDCuQac6/ute8qVofS+06/OldGT9J/eHE/v7INbnUI8pKdQvwNQd1jONF39IXpFhCmcQG84g5ElvvAsXoOImfa4JU6b96e2FAMXxpkzLqu8eQGe+pA6+UNH8p49jfQLXHNNQjynxh5T7C8CzX0PDJkCVb9F6412YABUHey5XULbF6O2FAEWAKtu6eN8wKjDUY4q+to722YzGfVUbDQGqvIJ6412YAJX75Vm/QOWX6L7GQZS5vGLDfafeXghQBKjh7iMsfTEFhnZMyX/le6xKrbdIGg+nWKgQTzHJO6+eL4BCvlH58l+1HJ2lau/1Mh298dYLUDCvW3otb5eye0urV8TTfVf/j0h5EC5UnxX4jkg5Yu0Y13RPxXeOAXXXgJO3aJupO21ffACkqAYLxGXAqm+uf+ar6IRjTtus9BxLSE69xMnPvNartC+EsYzPx5iC/Dha9X9c0eBIPuAYHWwAWxWn8bQHbR2/CPFgzFe6xWrWyppC5nzjPlxf9IGKSs0H6KR0HobGVd5m1BtvNYBCeZr+CJEP+DZMOXCt3dG0etU6ptERD7vAf4m6sdtApDwAisbj5uWKim3b1qPO7bzvam2scdBtw3p7qWaBAry18xZyBm7rW6Xtl9Uz75+d0NgxxvUBoEw9BNo18ueWLU3X1kd3O/qhGxf2m+NhsG81+1zltdWMJTlSTqRj92PTdiLXa2OGr6z2McSfvzQVewaYftORL8ShlcVOR9uW+mz7ekXao/l8VXdf1tIocl7yk89IRfutjCkt2Oz1mIJyWM/Vgx19tWXsEf1Qr+bZfTHKVESDwtdqDzh5ICZM81X6PpGWD9+AklrY5mCuiC7ih8L4tFGz8TV0MAvFj+ONx8s8TPTGWw6g8ngxhRbLs+9cWyutXrXBUEtbu1/aSLMNKMDkK4sc23sYICLxzWdoHmzq9wAl3+0QDw20U729lAMoPATzB1M7Ta3+2ucbj6OO+qVrrmEknx6AqTtvWh7s9MrVeeOgDSZ2fLKdMl5VfQjpaXS+iKSNGdBC8l8kLKfhFVmz3xjrRjxvaeMs+l/5fpK3WenLRcofurb57Lq++DqQ+TdxezmmIM/NsTvxE3Pdfdquv5AGpY6bXyDRh2P7e3d5Iboz1x4Aq32fKN4wy72FZ4h1n+a/FS+TXT5s+wak3KoVI/ZiaRTtHPoDMa1jSyNCh6jawaFVyi8rDYBc/d197X7zi1G1Nhapn/l7jbrZnksPJLl2ew/n9RIvs7SF1LC+PmAe+r391ZgPyvM+hZdrFq4HjDXVx7C9h2M/yjSIM22mAtjm+Q+XEfGjPdrtrO5nQV39pjmWRH5QxsfZ/Hlb5gdpSL+9h7Xxz9bVt12XNintyJd+7Fj1tu/oVhK8g3nUOrDdsA2lRmHLQE7pX+h1d5qUCnUfxvp+42FXzN6kg4rvTstNW/brBKi8nuuFzpiu2gAQuxfnYvfnA57TibQ2nHS+/xCV/4CpD9I1XaVtpYR1wHZnfnqvr9pv6x5sPUKq/XZ/o1HGKtCpZbP9ByBI/xFdbCxyi5nSNtwfpXU+C1J++Hv1Co4DsT4YB6hi6aSPWzFAduvD3q9fm3ie7bS1bY1NymtZ49iCh3QsIyBAu6AJ03hdgGHfH9uus9OkdNpYuUPnbKCUsvTuId39y0zSdEN1IN4X79gSX7/hCTrHAAj5CtWFHI/dnwT9wYEyPhgUAVzRt2zY74EO2qbmtVd9rdf6LgiAKt02/W3XHc+ljvVx3W95l/tjoQ6A3W9w1/Us6He/QV+Ia1Gn9cmuY7OkSyEH6n5rMxhjimhWA0Tpvzza03fSKFJEd39NyL1aWFen6d2AHn7Y63P8UnHFwxggiKZ1AZQG1AItdYZa+bS09PvhZF1c96R7+uATlZuxe5T/iC7StmJhL/sa9Pf9YInlp8i5YQQojFM+jZJ+BJawyKXE67Oe1PEsSEk7qY9H+kjX/YpGKc/PrjiT00/7kYz6158XvRlvfG3PPdbrMaWtb0WI0gaQ0OCl/aII3ecK5e7X0WmQdlugIo2gY62hgI9Jp6Ojnf9wujD3mrcBzJsupuHCLI83TBTrX7scesfQO4QeR7gMIR3Nmw7tVYKTO3pnfDoAdV7f1iU/rt6/v3Gxe0++b+oGb5OYujEDLq7N6yYRuswvv5756zQtgoH2GNIlpS2H7m0ft9u3bzv9AWWWQbke9ST/Rdq/Vr++vKUcy/PQLq/bRjCQS36rhLEflIjXTbfn+4GpPG1cD8FXTGv9YegHuqrPgtw4EJtqc+u9ORa015mLzswE60gBqLhFPH+LuTkeXdwcj67PNUwrS0pfyfOQFl+7nP0ZU4oBpqkzvCXfeou0iFZ52bqtn7H23HFOs5qEzL1lO0VH4p6dqp2m2GBk3viJLk+A+HKokMYWFtu1EkCjlMac51nidzt1ez9UFyKjXvY4QOn3t/OCsoUeCnkHiL0a3I5HOqemk1wXCrX7uwetxkEMTqJdKMwH4fgUt8lT4IEUirfI8XSozd9gQ1nd+E05DBR2ax/SFMfdeOz9tEE47ryM+HII09p/vO3a+SqyrQFUTJtC5yIP1SL9TtJs9r8O14pcx9TpIT+0pLQ1bRyy9e/ud572F9Cm6rNAvb/1Y6/xcGj8QL/Rn3VOmQLlsXXpnC5tPYe6+q19D7RMy0v4GSXxpcWDcsXHlPR42hpJHnxhPt5qYwHi0t+GLvJCS8qzoCu/7gNfOmc79HcyRJTS6Yt0NMmc2uiVxqkBYatsSjySHzs0FaI8KPP09deG7XixndeF0nCUPOt1En8IqdqbASft0ynpnT3vWKEBTHRq1Vtr0Gt3SJzT7kc8+aAVHiwlLTfMHwIaEOqDlhtvyn4+oHSW1a9F4z7kU4szqZ1ZGsfi0+Ejra0gDX0sMv43HcAQy1vqOb0MKdonXBPpu3q/teM3Uw5RHVJ/wfvG55T2BsgqoG/A8tsuE9L0xaeORzVoCgDwpe0eS4P8Zpki+ZJ48zrSIUCut8MUaLGvd7dT2xvS6feYklI2wJOv7brlxH76eBdmHV+85pj2a0PrKBqsaPf7Mlal06QOHLjOl3Ydx0KDQUrcWn1Am1g8escI36/fi8EhveFKPtM6hA5AfmhoD8LIv6QZCqvUjd62wlO7ofykHE/Trxi8pQ8qYQtUDpVx4E+pE1sDDWaghX19Hdtamlq7Sz4feaim9T209XR/DX0sCS8Jo47B+9Lbeqelpd1f27qF266aj4im6r378nWdirQhfQxoli+SL0kP/afseJT3PZ+W7WOxvpcyphTtazWNKcvb7aJdls5jxZ9ByXkrygUaAGkVrHfS9I4mDUtt+JHGqZXHVERRkSRjfQhTBtJYNvT7wwCV1KkSprzc/OWdXbPe9Aeg3LwV3e/syN0dHB21aJyx61MgpQm1quXJTSf/Rd1dBreM7n2yr71eXHQARrz6g6HEr0TJcCBcSABVpH3pWqLu/eNBCiikTHng+eG2J3c/9qAv+yxISbfs2506EIbBNNAESx2uoM3b3Dro3m88jvZTNGMp7QZpheLVeaL8EknaeJVrkL5kUMIUnB5ZSkNN6Wi2oBUaxmR3Q3AfEOFfO3Ye5nNbK0Msb1UAyswpW1M33fnwD7ax/Mi5lMYbG0gRT3d+OutWu1/yUiXUHP7rzkMS5FT4QZDygyOkl6aF9uMrEm9kgcLyr9EH0yvhF6a1Re/5yA8/vd8Wt5agvPrDPjzGa+NBCiDr/T4OxGWfBXq6+g+2UHvJrRmdY09XfUfqOhRv0eMq+AfykAQ58zemKC/KxNuLpmHKeJc8bqkWh8RXs7WBNKWj2QUv22lS6DVZHDtDNW+bwbLjLS95syE+HSKdNPaQ1gdiPwTp912RFQVhW7YU0I6VC3FJ+UOhdr+dn9C2GRy9daNb0JCvKhr58qT20QJTKb741UE48GtRt26EH8y+fNjHtDzVrbGWXqi9FT4eeKCh7Cn9r0z7TgEJW3t7O3E8jVoptGcD8men6W6XfRZUAUc3D7599UEcqWtffL5jGDNNu9jfuD6vC3lOJLzQYn4I+8d6fUypBikp7SZQXt0AorQXX7z2sZT+AMC07wlua78wEBEqUPvXK6TYNF6FThP95YrOHBSjhycMPJiVhFPfjon/uokNpKbDlbAipTSsqhJpD5xYuZB21ft9+TcgYJY3wBpRaQAbzUcNA6edT+0BVPTHiR03tlMsXO492E9oZ/iIp7W0RaHt+K/QujVWLVCA50L595c7MjDreoanPXz1I8eqxJtoaQk+bFJ+NGnTROWfBUpfrtiGyuZL6iUUor7y52naD7boWBSanlU+ZwUACuUv5XiKhcsXT8p9aFO+e1OPpbRJ/KBS40sZOOOVE3/Id90bGTzczJZtnF1puiCRIoybmQr7qCwdLgvqqLxtpg+Y/l8l+q8G/31F5NEABXmPxafVr3a/HXe7bpSB1m1D2n7NbUwrc/KvJbvw1rbeXvwP7r5ZbXx6162xBlA1p2fJ39osWw+tCAIbVePVAB5jdSDpY7QxJQX+e/UsKDJW+MpXNl++uHAsh4c6oMl+nvjrRhtTqlp4y7Y5fUypZhkT7VXrYaRNSxzH9OLBHq+YdN+jso0znn75Oe+WaIkb+FWlDR5aXmPnY51fb7yhThW3jlX9VQLptHqNlSu/3x4cure1+6X68o5aMzjJg77mh22sHeBcapml7G6otxcCVNIvUlfYgvtl60FLpmq8VawC2oMqpe1qY4avblLKrFm+NF3L5MsXZ57XusFJxsbusT7FAlPkRYVwmSQP/tB3X8K0axDWffGFjql1pwGUmbaoY7pCHhqJYWqjVQvoeUildJqUDhsSPfV4bvZOnaP2N64qD01dh+5OhbKV0TxVE7lOS0Ornyq6IA95u4+DopaGet7TNqX8RUO9Lv1wUySdsmlodanqlDhmeOOpUWNopf7yrTk9X/2UrQdfXPaxqvEmPSs8fil6umnWBLWdeepGT7t6vymTL7tesJ3iNuFt/8l9p3us74c2ZdPQNK3jR7zRHV8EiWrYrVtH3aX8qognUO7BnzrdoAlZ4VdHpfnTDhE9Oznd98iyYVU4GqgneXNIb7z+xlFG81AeQse1NGLlQpxam4zd34Sncp9lsLTX8uBrmyE9tON6XVZ/EJRNQ6tLVacimrrXeh6ampax8wSomDrHJMxWdPuWqjMcHujy5UJtZ562ULZN+9IPHSuTLzuuXs5QtPte91jfD23KplFVU1vf2Lba3zULlG4qKwlI7kDXtd9dob6ClhEypdJwjS+9uo7p/gKurk3nVPhgNP9z37S4BStWDl0Hfx2U0byobloasXIhrfbA4OqY78fuLz5gAYQbB8197fq5WK1jz4BeVCe5Xq9LApRoVSVUB9Qa6zSUz17VdR3xpjiTu9M+cX9HsxBi9O090UkbM1B3cq2EdZRZ4gqFZfIlcZXzP24cNFDaHovwHdVGfEzsHuv7oU3ZNDRNa7RAaS+bhacK81/i/gdQvDLquQdWGmlIoVAT0tdpUjo5KjaUZtXjemMW/cLfFZI8aOWPlUNvvN2dCulqafo0l/ymhhp8xMqV51E09Ieh+3VNJL7W96iCbbQfOomeKfkOlVni0MKUNHxxqDqYD2TX8Oaa5+0392Hty1+RYwQoXS2t79oPNw0QUpzHJUdqOysJUFXbUJl8oUxNS3j8LdOm4QE6xfKp993usV6/p/o6aylpSP3aoaqpZhmyI4tsV0onbfqu9MCnT5EkmG7VAno6DfRSATAh7Yju0VOaw6TJW2L6WvnRQEOZ0Rtvd6fKtdN8g/z3hfLhO67VT6xceR4FdPxh6P4Ui2tzsFJ/FWt1Uwdo2tppmg3sGzOBPmqXbVC2CVB6Teg/ENs+TVp/i0GBm5My/S3FSFC135TJF8qW+Px9OMXQUGasT3EiD42jbt2E9vV8+S3n+ixBu42F0k45HreOKgvWar8k0PhTMuG7JqXhIn3fvfax0o1TdYwvXzY7f+52SoPBAOTeF9rXyh9r4Hpe/CCkN95ia3n5yqbBQKxciK/M/YltMrnNa3XTb4Cyf/n7NNeO6Q9G/2CnQUcRK4OWx16f18pSd536yqP3W389+OKyj9UVb0o/ApTo1+njv53/sv2t0kPSzkBgW/3BHPgBoZZnX/onVPS69Y/12jhaw5hyvZaGT1a1H+6rbh0DvGt5C/b3FPpMdfT2CYBj2q8PZF6ja7WRlW6cetqhcsWO6xVfjJy18sdAo3SnUufTq62yrZn10S5i5crblt/yJB3Cd7+uh2kTquVJ6l+rm2DnkwgKhmp6+4q1LTd5gI7oFwrde7Cv61oduH3p9uKY2n8D402dedH1nF+AQlm1tmLOm0VpI/20wHqASFNt/4G6Ue/LP4qe3O/tuk58jnb5ZuXliWiDqbsC+uhtJgRQcR9bwKFd3qLbKQzgi1MvT/nv4El6al+PPYdSfm3iF4QkViZMeVBqhKs2/lCnSYCAKha2kB5ag9HK68YbepDJcTQ09x7Z1xuhv1MlkXmFOWht8EXZYuVC+aT8odB3v95h/HqInm5Ytm268aTuo+2Eyts6XmDQtdPNrQX6W6P2PbKtWxqKPQwk3vkI1TYSGG/qzKveb+cfoPQ8mhcvIq+IpzuPi7Zl+1vKsw71LukUCVPGMl/cKWNskeev2m4D43XKmOIbS1M0SoLLwOehEL9mOawCd2njXeSHXy+n72xxq4pQttOkVl4RyrfLFdoum19ffCkAGmvc+iAXBgbVLJ0AOb4ypQwcgIFYuRBvCxi63u7Mf9X57i87yATKoX5Z3jdw+uJKPabXJ8qebva3000ZSKG5fY+9rf1wwDhQ5IFgx93PbbWNlHzQFilDSj0XiU+urTvelDEi1E8BHpKv1LDs2Jr6LMDYlJoXXJeipym/p82k3FskLwnPc+/bZCnPmBRXG19e9TEhH6t99+JYIpwmu8PY6aSMd8E2mtSgSv6StTOZKkKs4ZbtNEhbvVcevjWVNS3NNN+rnJA182ocNPROGgEovCIr+gTDYg/FZpmS3jpB3t22ZO9refPdrz4cC5irkwYHz8Bpl6HMdspDK9jxAwmmObPGB7u0OBpwiK1k1Q4UobbDahvpQZ26mdf7bRhk3bjs/brjTbLsBMYOPIPsvKVsq+N5pG6S+msO+UkQlf8Q1C22VQAq9ly09Urse16AQjy6kUNxprYz09xOy1N8TElpr80fZkl1JtlMg0bjzuGPN4W+6hroUjKL/Ejh3LBKp0mrgLwSMXAWLTMaiZv3FGrWBo8maCjrU+T5RhldzWRfL38YoJIg2wyOxuLhb2iSkdavtcQBZ94sUHEgleKk1HFo4JQ4yobqA775wEIeU9pzanwCrLF8p8Adfs2mPhh8aWE8ibV53z1Fjql6RB7SRdKJXav328EAqHycao6fAVCSdtMZhsedmC79eRbsPRx7FpgyJ/24tHTxtJmU8TXlh1DK8zXXPqy52uatMSVWP3IuNT5pE3KfL1Tr3OTN/JBXn0GIP9cr5TkU1guWGcUKkGYl8RXYd0xPLzzXqAroaZx2HtT7Ozp+q/N4KwONHhWQP0ClEjqd7NJ+lYV/ieeDp255ksYXe5joA3GkkRxzjPoBUMkDwuYDu0s3PCxzvawBpUNz//FYuVC/dtq+bd/9uh7IS7gz5oOetsSDVR6lbdrtNHW7CddK/5U8+NcZaz4E9IVAPfUUy2eRX52h9uLGj7x6+lzym5JufNq+Pvg3F7z1rEmVjzUFl33xWL9T2qlWDt/5XsSbZtmR9tgMPWX25dc9po7lSn9LMRy0xxKM7437THtoLljZOe47ZfL0lVZcgXylWH7Qp1wdsF8c5MJjfT6myPNMK5c6piSOTe10fOWTYyltNte59ez2WrhRxiL1j7Fe8tAR5qbHduZblWw3gECldURUYCcl4xgkfVFW7TT5Qy+1cbi6AGTMgBhd08oWO0/Pjce3v/ew6ZDNzplrlA5OUm9oYD7dcExvfOFOhfvzjqXBtq9s8hDxnUs7FisX8iblD4Wh+5MGLdMXOgdP3cfAU67AwBmqr9Tj+a8oT3p2H+7aNg+Eg6XKYcWl5VHtr1Zced218nUwhxdpOwhD/Tb8g0vLn3ZeB6iiuivXe9qI3m8HwwIFLYu3xfJ1p7Ytj5Z2fTfHs+hYHhpPKh0P5Cv9h2XjYRvkcmgN9Y1Qe4uP9cXrEem0+m5haLL1tOvIt12sT3Y+V5tjSuRlBo9esWWGUmAGDc1XkLLHUqANjckXf9VOgzhTBiS7Qotuu/Cn5rnrIeKpxMRrQqCQVu54p0qLo3zeYzrHyoV8xe7FudD9xTpjxbIFBk7kv+pf+uBbsQxOO9TyXR66i+WzyjRgrAx9bR/Q1tNGUsarWBlC53oVrz7D0K5bPH9C+dOOq+OqR0s3zvxZVBQ+2vnXxh3v+UC+UurDG5/TJ9Ou0cf6QR1TUIdq3ZfSpLteQxzSakd6Y693+k4S1tP1/zJRhQs0TklXwiLTC2kN0hLfyUMKMBZOI9RAItZCvYPqnQr69VS7cLmirxVr+qHsUvd2mD/g+zSAOu3Czkcd21WtSZqGvvMp+e7LQyr2KzElk4FrCFABYSKHi2hmW+sjUXpP1fUsqL99KuNJZBwoNQUaGjOjxztdTXwC985CF9fHlxf3WO/y1n6Oq/CUZKaLPJDdQhXZT+pknrTr6jTIaw4U8cr0PTT0Y90gUh90KPmNdM66AAra1VceNNi9h9W2GCmXyU90sAhboHBvfYCr1E1g7RXkoY6/5qCS9LKB3oZRL42HNQt1ar57P+D16IdeUQdhpR2qunvaud5vB2cKD+0h3W2he5xMbU+4rs5nQZ7n4i4Tbn2a/qK1GU8dS7nr7Sfx8UjSjIX15seMKflH2CP9JJYf91zPrGSROmrlISVxCNi6ocaNtE7WPSjW2WlQnGYDKTYnGql86VA+qapDR+Og9rCPUbM+EBcb0OoB0PZbWKKdN1QatPceq56QV1+dyLEc4OIDTjyN/O3DsJ9OPnhIer0MNeiJlwP5vCKTqRXth05RC0IdefPnv9hnQFL118rvz0uuYalznnau99vBAihom2JJcV0dUutErqv7WWDybeCnzDjQeFzGGPW5qlhLq0OLcaC+WMtHkb5bR79NHVOkflPD/Llaps58/bRdj2r68cHeDPg9e7vFNFbzVXZfIdrHXIDrRadBXvJBCo6q7bSLb+89jEYSa5jNdAo62ZkO0VogLJ6vMATpA3H43lBjQv2U61z5WxJ2vLFySeezr7e3Y/finAxu9j3udg6nRdtA59seWvt00+zVfvn23Dhoa6W1Gfva1LKgf2iDu1af7fON+6o+iGP5JkDF1Amf038s6lNI4djzM1pfQ91pcfjOG4AxX67QxgI8tM3LJR1vxmn5Sukz5cdV8yPbvDGmtd2UfNj65GOBponv+dk5pmhvphfNF/LYrLPrdabx5Q/H8rcJ7fJGtzGIGYFB3IH/MgWJJuqcNBUSSFvy5MKI6ZiRe6rmualLI/8Fpb1xZjqQeVuoaLr5ANO4L1zh/s4JCTUNHJlbuwl13jEQtG5M2EgbdNplwvVutFLngTCat8A9rbbttiM3bXsfdZk/4EP13ypHwy2HsWRF2qedTj+2AYU54MamJ/KpOlzr5klrM0V09cT9NrTlptYJb0M1lwzY37i+l9Bk5zNljNLaXpHzvnFEqwPEb+c5dbtX8Ur6sXLXUX/aOOjTUvJWJEQ87n+s3Wv+vb5+FsoP0inQfztetdfqt6w+gzymQEe0rbQxpWGe3UXqI1RPPB5RAA3R7kCxzhOJJngKD2E7/uCFC+jE0VQmu25cYFpAVWKyarfluttxHVq47absIF9HXhgHFSiqAPpU2zrqt3YUjdO+Hg97GY8Gpf8ugDGl4/lt68ltKkAFqAAVoAJUYAAUMFa3qBtIcTeJASgWs0AFqAAVoAJUgApQgd4oAOtp2CWjaY0qOd3amxwzVipABagAFaACVIAKlFQAvlR1TBVrzuOY2qO/TclK4m1UgApQASpABajAYCkgTt9wPC7jV5RbnvBCkN/nqX28N0ttDJaazA0VoAJUgApQASpw1CsAi1AbcASA8qUJtBdGjMM43rgNfqNR4mtN30XfJD7qxWYBqQAVoAJUgApQgaNDAX0Nu+bSGfl6T9c3lxQo8RFuOo8fHS2GpaACVIAKUAEqQAWwYnrBRY0dq5I6bYfr9x4uMzXI6qECVIAKUAEqQAWowMAp4J++KwNIsXsMPHUtUDtwYjBDVIAKUAEqQAWoABVIUUBfsykGRinnCE8p9cBrqAAVoAJUgApQgQWkgHEC31fm2246PDXf6Ov6XNUCkodZpQJUgApQASpABahAWAGsAZV/+1QHo+439tx7GvfVsaZUOLc8QwWoABWgAlSAClCBAVLArOfU/rh1onO5eUvvPizGqS17MEBFZVaoABWgAlSAClABKtA7BTDNJx/vtUOuKN47zRk+XyNYAAACDUlEQVQzFaACVIAKUAEqQAWoABWgAlSAClABKkAFqAAVoAJUgApQASpABagAFaACVIAKUAEqQAWoABWgAlSAClABKkAFqAAVoAJUgApQASpABagAFaACVIAKUAEqQAWoABWgAlSAClABKkAFhkkBLPplr2vB7cZuakAN2AbYBtgG2AbYBtgGfG2gtf4XTurL0rvL1HOfmrENsA2wDbANsA2wDQxjG2gcNIY2AtQwVj7LzEGPbYBtgG2AbYBtoFwbIEBl5YRjg6NubANsA2wDbANsA8PbBghQBKh9HACGdwBg3bPu2QbYBtgGyrWBJkDRiZxOcj4nOR5ju2AbYBtgG2AbYBvobgMtJ/JheuOQZaUCVIAKUAEqQAWoABWgAlSAClABKkAFqAAVoAJUgApQASpABagAFaACVIAKUAEqQAWoABWgAlSAClABKkAFqAAVoAJUgApQASpABagAFaACVIAKUAEqQAWoABWgAlSAClABKkAFqAAVoAJUgApQASpABagAFaACVIAKUAEqQAWoABWgAlSAClABKkAFqAAVoAJUgApQASpABagAFaACVIAKUAEqQAWoABWgAlSAClABKkAFqAAVoAJUgApQASpABagAFaACVIAKUAEqQAWoABWgAlSAClABKkAFqAAVoAJUgApQASpABagAFaACVIAKUAEqQAWoABWgAlSgmAL/B3hxrJxf4m7pAAAAAElFTkSuQmCC">
          <a:extLst>
            <a:ext uri="{FF2B5EF4-FFF2-40B4-BE49-F238E27FC236}">
              <a16:creationId xmlns:a16="http://schemas.microsoft.com/office/drawing/2014/main" id="{DD1E0248-8D0D-4AB7-AB45-FBD7E34AABC5}"/>
            </a:ext>
          </a:extLst>
        </xdr:cNvPr>
        <xdr:cNvSpPr>
          <a:spLocks noChangeAspect="1" noChangeArrowheads="1"/>
        </xdr:cNvSpPr>
      </xdr:nvSpPr>
      <xdr:spPr bwMode="auto">
        <a:xfrm>
          <a:off x="5303520" y="7452360"/>
          <a:ext cx="2150269" cy="9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140492</xdr:colOff>
      <xdr:row>1</xdr:row>
      <xdr:rowOff>61912</xdr:rowOff>
    </xdr:from>
    <xdr:to>
      <xdr:col>1</xdr:col>
      <xdr:colOff>2495550</xdr:colOff>
      <xdr:row>7</xdr:row>
      <xdr:rowOff>99272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F1FD39-885C-4940-AFDE-C7767B845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042" y="119062"/>
          <a:ext cx="2355058" cy="118036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Caicedo" refreshedDate="45446.525004513889" createdVersion="8" refreshedVersion="8" minRefreshableVersion="3" recordCount="83" xr:uid="{00000000-000A-0000-FFFF-FFFF01000000}">
  <cacheSource type="worksheet">
    <worksheetSource name="EDUVIAL_2023"/>
  </cacheSource>
  <cacheFields count="22">
    <cacheField name="FECHA DE LA ACTIVIDAD_x000a_(DÍA-MES-AÑO)" numFmtId="0">
      <sharedItems containsSemiMixedTypes="0" containsNonDate="0" containsDate="1" containsString="0" minDate="2024-01-03T00:00:00" maxDate="2024-06-01T00:00:00"/>
    </cacheField>
    <cacheField name="MES" numFmtId="0">
      <sharedItems count="5">
        <s v="ENE"/>
        <s v="FEB"/>
        <s v="MAR"/>
        <s v="ABR"/>
        <s v="MAY"/>
      </sharedItems>
    </cacheField>
    <cacheField name="ÁREA DE EDUCACIÓN VIAL" numFmtId="0">
      <sharedItems count="7">
        <s v="Experiencias ciudadanas en movilidad sostenible y segura"/>
        <s v="Educación vial en instituciones educativas"/>
        <s v="Educación vial en empresas"/>
        <s v="Representación en Comités del municipio"/>
        <s v="Patrulla de Tránsito"/>
        <s v="Centro de Educación Vial"/>
        <s v="Evento Secretaría de Movilidad"/>
      </sharedItems>
    </cacheField>
    <cacheField name="PÚBLICOS" numFmtId="0">
      <sharedItems count="21">
        <s v="Conductores sancionados por embriaguez"/>
        <s v="Transportadores escolares"/>
        <s v="Docentes de secundaria instituciones educativas"/>
        <s v="Auxiliares de tránsito"/>
        <s v="Docentes de primaria instituciones educativas"/>
        <s v="Colaboradores  de las diferentes dependencias de la Alcaldía"/>
        <s v="Conductores en general"/>
        <s v="Ciclistas"/>
        <s v="Empleados de empresas comerciales y de servicios del municipio"/>
        <s v="Padres de familia"/>
        <s v="Motociclistas"/>
        <s v="Peatones"/>
        <s v="Estudiantes secundaria"/>
        <s v="Población en general"/>
        <s v="Rectores de instituciones educativas"/>
        <s v="Niños y niñas de 4 a 7 años"/>
        <s v="Estudiantes primaria"/>
        <s v="Conductores de transporte público (taxis)"/>
        <s v="Personas mayores"/>
        <s v="Integrantes patrulla de trànsito"/>
        <s v="Agentes de Tránsito"/>
      </sharedItems>
    </cacheField>
    <cacheField name="TIPO DE INTERVENCIÓN " numFmtId="0">
      <sharedItems count="18">
        <s v="Orientación y seguimiento a labor comunitaria"/>
        <s v="Formación para el fortalecimiento de conocimientos, hábitos y comportamientos seguros"/>
        <s v="Reunión de planeación para actividades"/>
        <s v="Formación en funciones de auxiliar de tránsito"/>
        <s v="Orientación y seguimiento al Plan de Movilidad Escolar"/>
        <s v="Enviciescuela. Actividad experiencial en bicicleta _x000a_"/>
        <s v="Motodestrezas. Orientación práctica sobre habilidades y destrezas en motocicleta"/>
        <s v="Campaña en vía"/>
        <s v="Sensibilización en movilidad sostenible y segura"/>
        <s v="Pista itinerante de educación vial"/>
        <s v="Presentación proyecto de educación vial"/>
        <s v="Actividad experiencial en educaciòn vial"/>
        <s v="V Foro Departamental “Expectativas y retos del transporte”"/>
        <s v="Formaciòn de Patrulla de Trànsito"/>
        <s v="Ofrecimiento de servicios de educación vial"/>
        <s v="Conversatorio en Movilidad Segura con enfoque de Género"/>
        <s v="Conversatorio en Movilidad Segura"/>
        <s v="Prevención de la conducción bajo los efectos del alcohol o sustancias psicoactivas." u="1"/>
      </sharedItems>
    </cacheField>
    <cacheField name="RESPONSABLE" numFmtId="0">
      <sharedItems/>
    </cacheField>
    <cacheField name="DESCRIPCIÓN DE ACTIVIDAD_x000a_(Escriba brevemente la actividad realizada)" numFmtId="0">
      <sharedItems/>
    </cacheField>
    <cacheField name="INSTITUCIÓN O EMPRESA" numFmtId="0">
      <sharedItems count="29">
        <s v="Secretaría de Movilidad"/>
        <s v="I.E DARIO DE BEDOUT"/>
        <s v="Solidrill SAS"/>
        <s v="Construgen"/>
        <s v="I.E LETICIA ARANGO DE AVENDAÑO"/>
        <s v="I.E ALEJANDRO VELEZ BARRIENTOS"/>
        <s v="Amigos del Barrio"/>
        <s v="Terrbus"/>
        <s v="Secretaría de Educación"/>
        <s v="Haceb"/>
        <s v="CREVA"/>
        <s v="Consorcio Nuevo Palacio"/>
        <s v="Agencia Nacional de Seguridad Vial"/>
        <s v="GIMNASIO CANTARES"/>
        <s v="COLEGIO COLOMBO BRITÁNICO"/>
        <s v="CENTRO EDUCATIVO LA GACELA"/>
        <s v="Alcaldía de Envigado"/>
        <s v="I.E MANUEL URIBE ANGEL - SEDE MARCELIANO VELEZ"/>
        <s v="COLEGIO INTEGRADO LAURELES"/>
        <s v="CDI TEJIENDO SUEÑOS COMETAS"/>
        <s v="Bienes y bienes"/>
        <s v="Policía Nacional"/>
        <s v="Constructora Nazareth"/>
        <s v="I.E JOSE MIGUEL DE LA CALLE"/>
        <s v="I.E COMERCIAL DE ENVIGADO - SEDE PIO XII"/>
        <s v="Soteco"/>
        <s v="Mattur"/>
        <s v="I.E LA PAZ"/>
        <s v="CORPORACIÓN CREAR UNIDOS"/>
      </sharedItems>
    </cacheField>
    <cacheField name="PERSONA DE CONTACTO O BENEFICIARIO" numFmtId="0">
      <sharedItems/>
    </cacheField>
    <cacheField name="HOMBRE" numFmtId="0">
      <sharedItems containsSemiMixedTypes="0" containsString="0" containsNumber="1" containsInteger="1" minValue="0" maxValue="166"/>
    </cacheField>
    <cacheField name="MUJER" numFmtId="0">
      <sharedItems containsSemiMixedTypes="0" containsString="0" containsNumber="1" containsInteger="1" minValue="0" maxValue="151"/>
    </cacheField>
    <cacheField name="TOTAL SEXO" numFmtId="0">
      <sharedItems containsSemiMixedTypes="0" containsString="0" containsNumber="1" containsInteger="1" minValue="0" maxValue="300"/>
    </cacheField>
    <cacheField name="NIÑOS_x000a_(4 años a 13 años)" numFmtId="0">
      <sharedItems containsSemiMixedTypes="0" containsString="0" containsNumber="1" containsInteger="1" minValue="0" maxValue="288"/>
    </cacheField>
    <cacheField name="JÓVENES_x000a_(14 años a 28 años)" numFmtId="0">
      <sharedItems containsSemiMixedTypes="0" containsString="0" containsNumber="1" containsInteger="1" minValue="0" maxValue="254"/>
    </cacheField>
    <cacheField name="ADULTOS_x000a_(29 años a 60 años)" numFmtId="0">
      <sharedItems containsSemiMixedTypes="0" containsString="0" containsNumber="1" containsInteger="1" minValue="0" maxValue="215"/>
    </cacheField>
    <cacheField name="PERSONAS MAYORES_x000a_( Mayores de 60 años)" numFmtId="0">
      <sharedItems containsSemiMixedTypes="0" containsString="0" containsNumber="1" containsInteger="1" minValue="0" maxValue="46"/>
    </cacheField>
    <cacheField name="TOTAL RANGOS" numFmtId="0">
      <sharedItems containsSemiMixedTypes="0" containsString="0" containsNumber="1" containsInteger="1" minValue="0" maxValue="300"/>
    </cacheField>
    <cacheField name="TOTAL GENERAL_x000a_(no modificar)" numFmtId="0">
      <sharedItems containsSemiMixedTypes="0" containsString="0" containsNumber="1" containsInteger="1" minValue="0" maxValue="300"/>
    </cacheField>
    <cacheField name="ZONA" numFmtId="0">
      <sharedItems count="11">
        <s v="Zona 8"/>
        <s v="Zona 7"/>
        <s v="Zona 5"/>
        <s v="Zona 9"/>
        <s v="Zona 1"/>
        <s v="Zona 2"/>
        <s v="Zona 10"/>
        <s v="Zona 12"/>
        <s v="Zona 3"/>
        <s v="Zona 6 "/>
        <s v="Zona 4"/>
      </sharedItems>
    </cacheField>
    <cacheField name="BARRIO" numFmtId="0">
      <sharedItems count="20">
        <s v="Alcalá"/>
        <s v="El Dorado"/>
        <s v="La Inmaculada"/>
        <s v="La Paz "/>
        <s v="Centro"/>
        <s v="Vegas"/>
        <s v="Loma del Barro"/>
        <s v="Pontevedra"/>
        <s v=" Vegas"/>
        <s v="Vereda El Escobero"/>
        <s v="Vereda Las Palmas"/>
        <s v="San Marcos"/>
        <s v="La Sebastina"/>
        <s v="San José"/>
        <s v="Alto de Misael"/>
        <s v="Barrio Obrero"/>
        <s v="Barrio Mesa"/>
        <s v="El Portal"/>
        <s v="La Paz"/>
        <s v="El Esmeraldal"/>
      </sharedItems>
    </cacheField>
    <cacheField name="GEOREFERENCIACIÓN" numFmtId="0">
      <sharedItems/>
    </cacheField>
    <cacheField name="TOTAL GENERAL_x000a_(no modificar)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">
  <r>
    <d v="2024-01-03T00:00:00"/>
    <x v="0"/>
    <x v="0"/>
    <x v="0"/>
    <x v="0"/>
    <s v="Juan Carlos Caicedo"/>
    <s v="Sensibilización en prevención de la conducción bajo los efectos del alcohol o sustancias psicoactivas."/>
    <x v="0"/>
    <s v="Roger Jiménez Fernández"/>
    <n v="1"/>
    <n v="0"/>
    <n v="1"/>
    <n v="0"/>
    <n v="0"/>
    <n v="1"/>
    <n v="0"/>
    <n v="1"/>
    <n v="1"/>
    <x v="0"/>
    <x v="0"/>
    <s v="6.170886750441593, -75.5906813812983"/>
    <b v="1"/>
  </r>
  <r>
    <d v="2024-01-17T00:00:00"/>
    <x v="0"/>
    <x v="1"/>
    <x v="1"/>
    <x v="1"/>
    <s v="Juan Carlos Caicedo"/>
    <s v="Trabajo con transportadores escolares sobre normatividad vigente en transporte especial y acciones de seguridad vial, se realiza en articulación con la Direcciónd e Transporte."/>
    <x v="0"/>
    <s v="Patricia Mejía Ramírez"/>
    <n v="11"/>
    <n v="5"/>
    <n v="16"/>
    <n v="0"/>
    <n v="0"/>
    <n v="16"/>
    <n v="0"/>
    <n v="16"/>
    <n v="16"/>
    <x v="1"/>
    <x v="1"/>
    <s v="6.167308616997318, -75.58844284868731"/>
    <b v="1"/>
  </r>
  <r>
    <d v="2024-01-30T00:00:00"/>
    <x v="0"/>
    <x v="1"/>
    <x v="2"/>
    <x v="2"/>
    <s v="Juan Carlos Caicedo"/>
    <s v="Planeación de las actividades de educación Vial en la Institución Educativa Darío de Bedout"/>
    <x v="1"/>
    <s v="Ana Luz Heano Ospina"/>
    <n v="0"/>
    <n v="1"/>
    <n v="1"/>
    <n v="0"/>
    <n v="0"/>
    <n v="1"/>
    <n v="0"/>
    <n v="1"/>
    <n v="1"/>
    <x v="2"/>
    <x v="2"/>
    <s v="6.167951, -75.578449"/>
    <b v="1"/>
  </r>
  <r>
    <d v="2024-02-01T00:00:00"/>
    <x v="1"/>
    <x v="2"/>
    <x v="3"/>
    <x v="3"/>
    <s v="Jairo Gaviria"/>
    <s v="Formación en funciones de auxiliar de tránsito de la empresa Solidril"/>
    <x v="2"/>
    <s v="Andrés Salazar "/>
    <n v="4"/>
    <n v="0"/>
    <n v="4"/>
    <n v="0"/>
    <n v="0"/>
    <n v="4"/>
    <n v="0"/>
    <n v="4"/>
    <n v="4"/>
    <x v="0"/>
    <x v="0"/>
    <s v="6.17084924631218, -75.5907350274273"/>
    <b v="1"/>
  </r>
  <r>
    <d v="2024-02-06T00:00:00"/>
    <x v="1"/>
    <x v="0"/>
    <x v="0"/>
    <x v="0"/>
    <s v="Juan Carlos Caicedo"/>
    <s v="Sensibilización en prevención de la conducción bajo los efectos del alcohol o sustancias psicoactivas."/>
    <x v="0"/>
    <s v="Alejandro Ospina Murillo"/>
    <n v="1"/>
    <n v="0"/>
    <n v="1"/>
    <n v="0"/>
    <n v="1"/>
    <n v="0"/>
    <n v="0"/>
    <n v="1"/>
    <n v="1"/>
    <x v="0"/>
    <x v="0"/>
    <s v="6.170886750441593, -75.5906813812983"/>
    <b v="1"/>
  </r>
  <r>
    <d v="2024-02-09T00:00:00"/>
    <x v="1"/>
    <x v="2"/>
    <x v="3"/>
    <x v="3"/>
    <s v="Juan Carlos Caicedo"/>
    <s v="Formación en funciones de auxiliar de tránsito de la empresa Solidril"/>
    <x v="3"/>
    <s v="María Alejandra Morales"/>
    <n v="3"/>
    <n v="0"/>
    <n v="3"/>
    <n v="0"/>
    <n v="0"/>
    <n v="3"/>
    <n v="0"/>
    <n v="3"/>
    <n v="3"/>
    <x v="0"/>
    <x v="0"/>
    <s v="6.170886750441593, -75.5906813812983"/>
    <b v="1"/>
  </r>
  <r>
    <d v="2024-02-10T00:00:00"/>
    <x v="1"/>
    <x v="1"/>
    <x v="2"/>
    <x v="2"/>
    <s v="Juan Carlos Caicedo"/>
    <s v="Planeación de las actividades de educación Vial en la Institución Educativa Leticia Arango"/>
    <x v="4"/>
    <s v="Alejandro Palacio"/>
    <n v="1"/>
    <n v="0"/>
    <n v="1"/>
    <n v="0"/>
    <n v="0"/>
    <n v="1"/>
    <n v="0"/>
    <n v="1"/>
    <n v="1"/>
    <x v="1"/>
    <x v="3"/>
    <s v="6.163314, -75.594252"/>
    <b v="1"/>
  </r>
  <r>
    <d v="2024-02-20T00:00:00"/>
    <x v="1"/>
    <x v="1"/>
    <x v="2"/>
    <x v="4"/>
    <s v="Jairo Gaviria"/>
    <s v="Reflexionar sobre las actuaciones que tenemos como actores viales y la importacia de la educacion vial en las inst. educativas (transversalidad), docentes bachillerato"/>
    <x v="1"/>
    <s v="Ana Luz Heano Ospina"/>
    <n v="1"/>
    <n v="3"/>
    <n v="4"/>
    <n v="0"/>
    <n v="0"/>
    <n v="4"/>
    <n v="0"/>
    <n v="4"/>
    <n v="4"/>
    <x v="2"/>
    <x v="2"/>
    <s v="6.167951, -75.578449"/>
    <b v="1"/>
  </r>
  <r>
    <d v="2024-02-20T00:00:00"/>
    <x v="1"/>
    <x v="1"/>
    <x v="4"/>
    <x v="2"/>
    <s v="Jairo Gaviria"/>
    <s v="Planeación de las actividades de educación Vial en la Institución Educativa Leticia Arango"/>
    <x v="5"/>
    <s v="Liliana Saldarriaga"/>
    <n v="0"/>
    <n v="1"/>
    <n v="1"/>
    <n v="0"/>
    <n v="0"/>
    <n v="1"/>
    <n v="0"/>
    <n v="1"/>
    <n v="1"/>
    <x v="0"/>
    <x v="0"/>
    <s v="6.170070, -75.592298"/>
    <b v="1"/>
  </r>
  <r>
    <d v="2024-02-26T00:00:00"/>
    <x v="1"/>
    <x v="2"/>
    <x v="5"/>
    <x v="1"/>
    <s v="Jairo Gaviria"/>
    <s v="Taller de humanizar la Movilidad dirigido a Amigos del Barrio"/>
    <x v="6"/>
    <s v="Juan David Carmona"/>
    <n v="34"/>
    <n v="8"/>
    <n v="42"/>
    <n v="0"/>
    <n v="0"/>
    <n v="42"/>
    <n v="0"/>
    <n v="42"/>
    <n v="42"/>
    <x v="0"/>
    <x v="0"/>
    <s v="6.170886750441593, -75.5906813812983"/>
    <b v="1"/>
  </r>
  <r>
    <d v="2024-02-27T00:00:00"/>
    <x v="1"/>
    <x v="2"/>
    <x v="6"/>
    <x v="1"/>
    <s v="Jairo Gaviria"/>
    <s v="Taller de humanizar la Movilidad dirigido a conductores y guías de la empresa Terrbus"/>
    <x v="7"/>
    <s v="Mayerli Franco"/>
    <n v="28"/>
    <n v="26"/>
    <n v="54"/>
    <n v="0"/>
    <n v="2"/>
    <n v="52"/>
    <n v="0"/>
    <n v="54"/>
    <n v="54"/>
    <x v="0"/>
    <x v="0"/>
    <s v="6.170886750441593, -75.5906813812983"/>
    <b v="1"/>
  </r>
  <r>
    <d v="2024-02-26T00:00:00"/>
    <x v="1"/>
    <x v="2"/>
    <x v="5"/>
    <x v="1"/>
    <s v="Jairo Gaviria"/>
    <s v="Taller de humanizar la Movilidad dirigido a Amigos del Barrio y apoyo forestal"/>
    <x v="6"/>
    <s v="Juan David Carmona"/>
    <n v="31"/>
    <n v="6"/>
    <n v="37"/>
    <n v="0"/>
    <n v="0"/>
    <n v="37"/>
    <n v="0"/>
    <n v="37"/>
    <n v="37"/>
    <x v="3"/>
    <x v="4"/>
    <s v="6.170818064174015, -75.59079230950998"/>
    <b v="1"/>
  </r>
  <r>
    <d v="2024-02-29T00:00:00"/>
    <x v="1"/>
    <x v="2"/>
    <x v="5"/>
    <x v="1"/>
    <s v="Jairo Gaviria"/>
    <s v="Taller de humanizar la Movilidad dirigido a Amigos del Barrio y apoyo forestal"/>
    <x v="6"/>
    <s v="Juan David Carmona"/>
    <n v="40"/>
    <n v="5"/>
    <n v="45"/>
    <n v="0"/>
    <n v="0"/>
    <n v="45"/>
    <n v="0"/>
    <n v="45"/>
    <n v="45"/>
    <x v="0"/>
    <x v="0"/>
    <s v="6.17084924631218, -75.5907350274273"/>
    <b v="1"/>
  </r>
  <r>
    <d v="2024-03-05T00:00:00"/>
    <x v="2"/>
    <x v="3"/>
    <x v="5"/>
    <x v="2"/>
    <s v="Jairo Gaviria"/>
    <s v="Reunion de presentacion del programa de educucación vial enfocado a la participación en las diferentes instituciones educativas del municipio"/>
    <x v="8"/>
    <s v="Catalina Zuluaga"/>
    <n v="8"/>
    <n v="18"/>
    <n v="26"/>
    <n v="0"/>
    <n v="0"/>
    <n v="26"/>
    <n v="0"/>
    <n v="26"/>
    <n v="26"/>
    <x v="0"/>
    <x v="0"/>
    <s v="6.17084924631218, -75.5907350274273"/>
    <b v="1"/>
  </r>
  <r>
    <d v="2024-03-08T00:00:00"/>
    <x v="2"/>
    <x v="2"/>
    <x v="6"/>
    <x v="1"/>
    <s v="Jairo Gaviria"/>
    <s v="Taller de humanizar la movilidad dirigido a conductores de la empresa Haceb de la ciudad de Medellin"/>
    <x v="9"/>
    <s v="Gonzalo Villa"/>
    <n v="36"/>
    <n v="0"/>
    <n v="36"/>
    <n v="0"/>
    <n v="0"/>
    <n v="36"/>
    <n v="0"/>
    <n v="36"/>
    <n v="36"/>
    <x v="0"/>
    <x v="0"/>
    <s v="6.17084924631218, -75.5907350274273"/>
    <b v="1"/>
  </r>
  <r>
    <d v="2024-03-10T00:00:00"/>
    <x v="2"/>
    <x v="0"/>
    <x v="7"/>
    <x v="5"/>
    <s v="Jairo Gaviria"/>
    <s v="Con el apoyo del inder Envigado se le enseña a los niños,jovenes y adultos sobre la tecnica para aprender a montar en bicicleta y con los patrulleros infantiles las normas de transito"/>
    <x v="0"/>
    <s v="Juan pablo Agudelo Zorrilla"/>
    <n v="11"/>
    <n v="9"/>
    <n v="20"/>
    <n v="10"/>
    <n v="8"/>
    <n v="2"/>
    <n v="0"/>
    <n v="20"/>
    <n v="20"/>
    <x v="4"/>
    <x v="5"/>
    <s v="6.169052564823755, -75.59638668361943"/>
    <b v="1"/>
  </r>
  <r>
    <d v="2024-03-11T00:00:00"/>
    <x v="2"/>
    <x v="0"/>
    <x v="8"/>
    <x v="2"/>
    <s v="Jairo Gaviria"/>
    <s v="Reunion con CREVA con el objetivo de presentar el proceso de formacion de la patrulla infantil de transito del mpio de Envigado"/>
    <x v="10"/>
    <s v="Patricia Hernandez"/>
    <n v="2"/>
    <n v="4"/>
    <n v="6"/>
    <n v="0"/>
    <n v="0"/>
    <n v="6"/>
    <n v="0"/>
    <n v="6"/>
    <n v="6"/>
    <x v="0"/>
    <x v="0"/>
    <s v="6.17084924631218, -75.5907350274273"/>
    <b v="1"/>
  </r>
  <r>
    <d v="2024-03-12T00:00:00"/>
    <x v="2"/>
    <x v="0"/>
    <x v="8"/>
    <x v="2"/>
    <s v="Jairo Gaviria"/>
    <s v="Reunion de planeacion de la capacitacion de auxiliares de tránsito y de la campaña dirigida a peatones"/>
    <x v="0"/>
    <s v="Amparo Gomez"/>
    <n v="0"/>
    <n v="1"/>
    <n v="1"/>
    <n v="0"/>
    <n v="0"/>
    <n v="1"/>
    <n v="0"/>
    <n v="1"/>
    <n v="1"/>
    <x v="0"/>
    <x v="0"/>
    <s v="6.17084924631218, -75.5907350274273"/>
    <b v="1"/>
  </r>
  <r>
    <d v="2024-03-12T00:00:00"/>
    <x v="2"/>
    <x v="0"/>
    <x v="0"/>
    <x v="0"/>
    <s v="Jairo Gaviria"/>
    <s v="Sensibilización en prevención de la conducción bajo los efectos del alcohol o sustancias psicoactivas."/>
    <x v="0"/>
    <s v="Sergio Ochoa Quijano"/>
    <n v="1"/>
    <n v="0"/>
    <n v="1"/>
    <n v="0"/>
    <n v="0"/>
    <n v="0"/>
    <n v="1"/>
    <n v="1"/>
    <n v="1"/>
    <x v="0"/>
    <x v="0"/>
    <s v="6.17084924631218, -75.5907350274273"/>
    <b v="1"/>
  </r>
  <r>
    <d v="2024-03-15T00:00:00"/>
    <x v="2"/>
    <x v="0"/>
    <x v="0"/>
    <x v="0"/>
    <s v="Jairo Gaviria"/>
    <s v="Sensibilización en prevención de la conducción bajo los efectos del alcohol o sustancias psicoactivas."/>
    <x v="0"/>
    <s v="Juan Camilo Vasquez"/>
    <n v="1"/>
    <n v="0"/>
    <n v="1"/>
    <n v="0"/>
    <n v="0"/>
    <n v="1"/>
    <n v="0"/>
    <n v="1"/>
    <n v="1"/>
    <x v="0"/>
    <x v="0"/>
    <s v="6.17084924631218, -75.5907350274273"/>
    <b v="1"/>
  </r>
  <r>
    <d v="2024-03-15T00:00:00"/>
    <x v="2"/>
    <x v="0"/>
    <x v="0"/>
    <x v="0"/>
    <s v="Jairo Gaviria"/>
    <s v="Sensibilización en prevención de la conducción bajo los efectos del alcohol o sustancias psicoactivas."/>
    <x v="0"/>
    <s v="Eidy Juliana Valencia"/>
    <n v="0"/>
    <n v="1"/>
    <n v="1"/>
    <n v="0"/>
    <n v="0"/>
    <n v="1"/>
    <n v="0"/>
    <n v="1"/>
    <n v="1"/>
    <x v="0"/>
    <x v="0"/>
    <s v="6.17084924631218, -75.5907350274273"/>
    <b v="1"/>
  </r>
  <r>
    <d v="2024-03-19T00:00:00"/>
    <x v="2"/>
    <x v="1"/>
    <x v="9"/>
    <x v="1"/>
    <s v="Jairo Gaviria"/>
    <s v="Con los padres de familia de la ins. Dario de Bedout se realiza una escuela de padres donde se humaniza la Movilidad"/>
    <x v="1"/>
    <s v="Ana Luz Heano Ospina"/>
    <n v="2"/>
    <n v="13"/>
    <n v="15"/>
    <n v="0"/>
    <n v="0"/>
    <n v="15"/>
    <n v="0"/>
    <n v="15"/>
    <n v="15"/>
    <x v="2"/>
    <x v="2"/>
    <s v="6.167951, -75.578449"/>
    <b v="1"/>
  </r>
  <r>
    <d v="2024-03-21T00:00:00"/>
    <x v="2"/>
    <x v="2"/>
    <x v="3"/>
    <x v="3"/>
    <s v="Jairo Gaviria"/>
    <s v="Capacitar a un grupo de obreros del consorcio nuevo palacio en funciones de auxiliar de transito para las obras en construccion"/>
    <x v="11"/>
    <s v="Amparo Pulgarin"/>
    <n v="7"/>
    <n v="0"/>
    <n v="7"/>
    <n v="0"/>
    <n v="0"/>
    <n v="7"/>
    <n v="0"/>
    <n v="7"/>
    <n v="7"/>
    <x v="0"/>
    <x v="0"/>
    <s v="6.17084924631218, -75.5907350274273"/>
    <b v="1"/>
  </r>
  <r>
    <d v="2024-03-22T00:00:00"/>
    <x v="2"/>
    <x v="0"/>
    <x v="0"/>
    <x v="0"/>
    <s v="Jairo Gaviria"/>
    <s v="Sensibilización en prevención de la conducción bajo los efectos del alcohol o sustancias psicoactivas."/>
    <x v="0"/>
    <s v="Yeison Mazo Garzon"/>
    <n v="1"/>
    <n v="0"/>
    <n v="1"/>
    <n v="0"/>
    <n v="0"/>
    <n v="1"/>
    <n v="0"/>
    <n v="1"/>
    <n v="1"/>
    <x v="0"/>
    <x v="0"/>
    <s v="6.17084924631218, -75.5907350274273"/>
    <b v="1"/>
  </r>
  <r>
    <d v="2024-03-22T00:00:00"/>
    <x v="2"/>
    <x v="0"/>
    <x v="0"/>
    <x v="0"/>
    <s v="Jairo Gaviria"/>
    <s v="Sensibilización en prevención de la conducción bajo los efectos del alcohol o sustancias psicoactivas."/>
    <x v="0"/>
    <s v="Diego Ospina"/>
    <n v="1"/>
    <n v="0"/>
    <n v="1"/>
    <n v="0"/>
    <n v="0"/>
    <n v="1"/>
    <n v="0"/>
    <n v="1"/>
    <n v="1"/>
    <x v="0"/>
    <x v="0"/>
    <s v="6.17084924631218, -75.5907350274273"/>
    <b v="1"/>
  </r>
  <r>
    <d v="2024-03-23T00:00:00"/>
    <x v="2"/>
    <x v="0"/>
    <x v="10"/>
    <x v="6"/>
    <s v="Jairo Gaviria"/>
    <s v="Realizar una sencibilizacion sobre el uso de buenas practicas como motociclista"/>
    <x v="12"/>
    <s v="Daniela Castañeda"/>
    <n v="33"/>
    <n v="9"/>
    <n v="42"/>
    <n v="0"/>
    <n v="0"/>
    <n v="42"/>
    <n v="0"/>
    <n v="42"/>
    <n v="42"/>
    <x v="3"/>
    <x v="4"/>
    <s v="6.170011396528038, -75.58772989743146"/>
    <b v="1"/>
  </r>
  <r>
    <d v="2024-03-26T00:00:00"/>
    <x v="2"/>
    <x v="4"/>
    <x v="11"/>
    <x v="7"/>
    <s v="Jairo Gaviria"/>
    <s v="Camapaña con la gestora social del consorcio nuevo palacio dirigida a peatones que transiten por el sector del nuevo centro administrativo"/>
    <x v="0"/>
    <s v="Amparo Pulgarin"/>
    <n v="99"/>
    <n v="151"/>
    <n v="250"/>
    <n v="0"/>
    <n v="15"/>
    <n v="215"/>
    <n v="20"/>
    <n v="250"/>
    <n v="250"/>
    <x v="3"/>
    <x v="4"/>
    <s v="6.170004946173187, -75.58792308912349"/>
    <b v="1"/>
  </r>
  <r>
    <d v="2024-04-02T00:00:00"/>
    <x v="3"/>
    <x v="1"/>
    <x v="12"/>
    <x v="8"/>
    <s v="Jairo Gaviria"/>
    <s v="Humanizando la movilidad para los grados sextos"/>
    <x v="1"/>
    <s v="Ana Luz Heano Ospina"/>
    <n v="135"/>
    <n v="119"/>
    <n v="254"/>
    <n v="0"/>
    <n v="254"/>
    <n v="0"/>
    <n v="0"/>
    <n v="254"/>
    <n v="254"/>
    <x v="2"/>
    <x v="2"/>
    <s v="6.167951, -75.578449"/>
    <b v="1"/>
  </r>
  <r>
    <d v="2024-04-04T00:00:00"/>
    <x v="3"/>
    <x v="1"/>
    <x v="4"/>
    <x v="2"/>
    <s v="Jairo Gaviria"/>
    <s v="Reunion de planeacion de actividades"/>
    <x v="13"/>
    <s v="Beatriz Ochoa"/>
    <n v="0"/>
    <n v="2"/>
    <n v="2"/>
    <n v="0"/>
    <n v="0"/>
    <n v="2"/>
    <n v="0"/>
    <n v="2"/>
    <n v="2"/>
    <x v="1"/>
    <x v="6"/>
    <s v="6.158750, -75.599892"/>
    <b v="1"/>
  </r>
  <r>
    <d v="2024-04-04T00:00:00"/>
    <x v="3"/>
    <x v="1"/>
    <x v="4"/>
    <x v="2"/>
    <s v="Jairo Gaviria"/>
    <s v="Reunion de planeacion de actividades"/>
    <x v="14"/>
    <s v="Laura Gil"/>
    <n v="0"/>
    <n v="2"/>
    <n v="2"/>
    <n v="0"/>
    <n v="0"/>
    <n v="2"/>
    <n v="0"/>
    <n v="2"/>
    <n v="2"/>
    <x v="5"/>
    <x v="7"/>
    <s v="6.177194, -75.584143"/>
    <b v="1"/>
  </r>
  <r>
    <d v="2024-04-04T00:00:00"/>
    <x v="3"/>
    <x v="1"/>
    <x v="4"/>
    <x v="2"/>
    <s v="Jairo Gaviria"/>
    <s v="Reunion de planeacion de actividades"/>
    <x v="15"/>
    <s v="Angela Hurtado"/>
    <n v="0"/>
    <n v="1"/>
    <n v="1"/>
    <n v="0"/>
    <n v="0"/>
    <n v="1"/>
    <n v="0"/>
    <n v="1"/>
    <n v="1"/>
    <x v="1"/>
    <x v="6"/>
    <s v="6.159622604385062, -75.60006935106206"/>
    <b v="1"/>
  </r>
  <r>
    <d v="2024-04-05T00:00:00"/>
    <x v="3"/>
    <x v="0"/>
    <x v="0"/>
    <x v="0"/>
    <s v="Jairo Gaviria"/>
    <s v="Sensibilización en prevención de la conducción bajo los efectos del alcohol o sustancias psicoactivas."/>
    <x v="0"/>
    <s v="Alfonso Agudelo"/>
    <n v="1"/>
    <n v="0"/>
    <n v="1"/>
    <n v="0"/>
    <n v="0"/>
    <n v="1"/>
    <n v="0"/>
    <n v="1"/>
    <n v="1"/>
    <x v="0"/>
    <x v="0"/>
    <s v="6.17084924631218, -75.5907350274273"/>
    <b v="1"/>
  </r>
  <r>
    <d v="2024-04-05T00:00:00"/>
    <x v="3"/>
    <x v="0"/>
    <x v="0"/>
    <x v="0"/>
    <s v="Jairo Gaviria"/>
    <s v="Sensibilización en prevención de la conducción bajo los efectos del alcohol o sustancias psicoactivas."/>
    <x v="0"/>
    <s v="Jader Manuel Plaza"/>
    <n v="1"/>
    <n v="0"/>
    <n v="1"/>
    <n v="0"/>
    <n v="0"/>
    <n v="1"/>
    <n v="0"/>
    <n v="1"/>
    <n v="1"/>
    <x v="0"/>
    <x v="0"/>
    <s v="6.17084924631218, -75.5907350274273"/>
    <b v="1"/>
  </r>
  <r>
    <d v="2024-04-07T00:00:00"/>
    <x v="3"/>
    <x v="0"/>
    <x v="7"/>
    <x v="5"/>
    <s v="Jairo Gaviria"/>
    <s v="Con el apoyo del inder Envigado se le enseña a los niños,jovenes y adultos sobre la tecnica para aprender a montar en bicicleta y con los patrulleros infantiles las normas de transito"/>
    <x v="0"/>
    <s v="Juan pablo Agudelo Zorrilla"/>
    <n v="20"/>
    <n v="11"/>
    <n v="31"/>
    <n v="19"/>
    <n v="2"/>
    <n v="10"/>
    <n v="0"/>
    <n v="31"/>
    <n v="31"/>
    <x v="4"/>
    <x v="8"/>
    <s v="6.169032328118845, -75.59636487878217"/>
    <b v="1"/>
  </r>
  <r>
    <d v="2024-04-10T00:00:00"/>
    <x v="3"/>
    <x v="1"/>
    <x v="4"/>
    <x v="1"/>
    <s v="Jairo Gaviria"/>
    <s v="Cpacitacion en la tranversalizacion de las diferentes areas del conocimiento con le educacion vial"/>
    <x v="13"/>
    <s v="Beatriz Ochoa"/>
    <n v="0"/>
    <n v="20"/>
    <n v="20"/>
    <n v="0"/>
    <n v="0"/>
    <n v="20"/>
    <n v="0"/>
    <n v="20"/>
    <n v="20"/>
    <x v="1"/>
    <x v="6"/>
    <s v="6.158750, -75.599892"/>
    <b v="1"/>
  </r>
  <r>
    <d v="2024-04-11T00:00:00"/>
    <x v="3"/>
    <x v="2"/>
    <x v="5"/>
    <x v="8"/>
    <s v="Jairo Gaviria"/>
    <s v="Sensibilización mensajeros de la Secretaría de Movilidad como plan de acción de siniestro vial"/>
    <x v="16"/>
    <s v="Lácides Pulido"/>
    <n v="2"/>
    <n v="0"/>
    <n v="2"/>
    <n v="0"/>
    <n v="0"/>
    <n v="2"/>
    <n v="0"/>
    <n v="2"/>
    <n v="2"/>
    <x v="0"/>
    <x v="0"/>
    <s v="6.17084924631218, -75.5907350274273"/>
    <b v="1"/>
  </r>
  <r>
    <d v="2024-04-11T00:00:00"/>
    <x v="3"/>
    <x v="1"/>
    <x v="4"/>
    <x v="2"/>
    <s v="Jairo Gaviria"/>
    <s v="Reunion de planeacion de actividades"/>
    <x v="17"/>
    <s v="Adriana Zuluaga"/>
    <n v="0"/>
    <n v="2"/>
    <n v="2"/>
    <n v="0"/>
    <n v="0"/>
    <n v="2"/>
    <n v="0"/>
    <n v="2"/>
    <n v="2"/>
    <x v="3"/>
    <x v="4"/>
    <s v="6.172711, -75.586413"/>
    <b v="1"/>
  </r>
  <r>
    <d v="2024-04-12T00:00:00"/>
    <x v="3"/>
    <x v="1"/>
    <x v="2"/>
    <x v="2"/>
    <s v="Jairo Gaviria"/>
    <s v="Reunion de planeacion de actividades"/>
    <x v="18"/>
    <s v="Ángela Osorno"/>
    <n v="0"/>
    <n v="2"/>
    <n v="2"/>
    <n v="0"/>
    <n v="0"/>
    <n v="2"/>
    <n v="0"/>
    <n v="2"/>
    <n v="2"/>
    <x v="6"/>
    <x v="9"/>
    <s v="6.153116, -75.565744"/>
    <b v="1"/>
  </r>
  <r>
    <d v="2024-04-13T00:00:00"/>
    <x v="3"/>
    <x v="0"/>
    <x v="13"/>
    <x v="9"/>
    <s v="Jairo Gaviria"/>
    <s v="Participacion en la celebracion del mes del niño con juegos de educacion vial"/>
    <x v="0"/>
    <s v="Claudia Jimenez"/>
    <n v="35"/>
    <n v="65"/>
    <n v="100"/>
    <n v="90"/>
    <n v="0"/>
    <n v="10"/>
    <n v="0"/>
    <n v="100"/>
    <n v="100"/>
    <x v="7"/>
    <x v="10"/>
    <s v="6.152200367310502, -75.53378621443908"/>
    <b v="1"/>
  </r>
  <r>
    <d v="2024-04-15T00:00:00"/>
    <x v="3"/>
    <x v="1"/>
    <x v="14"/>
    <x v="10"/>
    <s v="Juan Carlos Caicedo"/>
    <s v="Reunión con Secretaría de Educación y rectores de instituciones educativas para presentación de proyectos transversales de unidades ejecutoras"/>
    <x v="8"/>
    <s v="Catalina Zuluaga"/>
    <n v="15"/>
    <n v="45"/>
    <n v="60"/>
    <n v="0"/>
    <n v="0"/>
    <n v="60"/>
    <n v="0"/>
    <n v="60"/>
    <n v="60"/>
    <x v="5"/>
    <x v="11"/>
    <s v="6.173125093873194, -75.58864367013311"/>
    <b v="1"/>
  </r>
  <r>
    <d v="2024-04-18T00:00:00"/>
    <x v="3"/>
    <x v="5"/>
    <x v="15"/>
    <x v="11"/>
    <s v="Jairo Gaviria"/>
    <s v="Participacion en la celebracion del mes del niño con juegos de educacion vial"/>
    <x v="0"/>
    <s v="Claudia Jimenez"/>
    <n v="45"/>
    <n v="35"/>
    <n v="80"/>
    <n v="80"/>
    <n v="0"/>
    <n v="0"/>
    <n v="0"/>
    <n v="80"/>
    <n v="80"/>
    <x v="3"/>
    <x v="4"/>
    <s v="6.1683686635427195, -75.5897434488382"/>
    <b v="1"/>
  </r>
  <r>
    <d v="2024-04-21T00:00:00"/>
    <x v="3"/>
    <x v="0"/>
    <x v="7"/>
    <x v="5"/>
    <s v="Jairo Gaviria"/>
    <s v="Con el apoyo del inder Envigado se le enseña a los niños,jovenes y adultos sobre la tecnica para aprender a montar en bicicleta y con los patrulleros infantiles las normas de transito"/>
    <x v="0"/>
    <s v="juan pablo Agudelo Zorrilla"/>
    <n v="5"/>
    <n v="5"/>
    <n v="10"/>
    <n v="7"/>
    <n v="0"/>
    <n v="3"/>
    <n v="0"/>
    <n v="10"/>
    <n v="10"/>
    <x v="4"/>
    <x v="8"/>
    <s v="6.169032328118845, -75.59636487878217"/>
    <b v="1"/>
  </r>
  <r>
    <d v="2024-04-22T00:00:00"/>
    <x v="3"/>
    <x v="5"/>
    <x v="15"/>
    <x v="11"/>
    <s v="Jairo Gaviria"/>
    <s v="Visita las instalaciones del parque recreativo y a la pista infantil I.E ALEJANDRO VELEZ BARRIENTOS"/>
    <x v="0"/>
    <s v="Liliana Saldarriaga"/>
    <n v="40"/>
    <n v="20"/>
    <n v="60"/>
    <n v="60"/>
    <n v="0"/>
    <n v="0"/>
    <n v="0"/>
    <n v="60"/>
    <n v="60"/>
    <x v="3"/>
    <x v="4"/>
    <s v="6.1683686635427195, -75.5897434488382"/>
    <b v="1"/>
  </r>
  <r>
    <d v="2024-04-23T00:00:00"/>
    <x v="3"/>
    <x v="1"/>
    <x v="4"/>
    <x v="1"/>
    <s v="Jairo Gaviria"/>
    <s v="Capacitacion a docentes en lo relaciona con la transversalizacion de las areas del conocimiento con la educacion vial"/>
    <x v="14"/>
    <s v="Laura Gil"/>
    <n v="0"/>
    <n v="15"/>
    <n v="15"/>
    <n v="0"/>
    <n v="0"/>
    <n v="15"/>
    <n v="0"/>
    <n v="15"/>
    <n v="15"/>
    <x v="5"/>
    <x v="7"/>
    <s v="6.177194, -75.584143"/>
    <b v="1"/>
  </r>
  <r>
    <d v="2024-04-23T00:00:00"/>
    <x v="3"/>
    <x v="1"/>
    <x v="4"/>
    <x v="2"/>
    <s v="Jairo Gaviria"/>
    <s v="Reunion de planeacion con las directivas de los CDI del mpio con el objetivo de coordinar las actividades de educacion vial para docentes, padres de familia y alumnos"/>
    <x v="19"/>
    <s v="Janeth Gomez"/>
    <n v="0"/>
    <n v="2"/>
    <n v="2"/>
    <n v="0"/>
    <n v="0"/>
    <n v="2"/>
    <n v="0"/>
    <n v="2"/>
    <n v="2"/>
    <x v="8"/>
    <x v="12"/>
    <s v="6.170496, -75.578744"/>
    <b v="1"/>
  </r>
  <r>
    <d v="2024-04-24T00:00:00"/>
    <x v="3"/>
    <x v="6"/>
    <x v="13"/>
    <x v="12"/>
    <s v="Juan Carlos Caicedo"/>
    <s v="Participacion en el V FORO DEPARTAMENTAL EXPECTATIVAS Y RETOS DEL TRANSPORTE"/>
    <x v="0"/>
    <s v="Juan Carlos Caicedo"/>
    <n v="140"/>
    <n v="106"/>
    <n v="246"/>
    <n v="0"/>
    <n v="0"/>
    <n v="200"/>
    <n v="46"/>
    <n v="246"/>
    <n v="246"/>
    <x v="9"/>
    <x v="13"/>
    <s v="6.158920093839966, -75.57957566507737"/>
    <b v="1"/>
  </r>
  <r>
    <d v="2024-04-25T00:00:00"/>
    <x v="3"/>
    <x v="5"/>
    <x v="16"/>
    <x v="11"/>
    <s v="Jairo Gaviria"/>
    <s v="Visita las instalaciones del parque recreativo y a la pista infantil I.E ALEJANDRO VELEZ BARRIENTOS"/>
    <x v="0"/>
    <s v="Ana Luz Heano Ospina"/>
    <n v="130"/>
    <n v="145"/>
    <n v="275"/>
    <n v="265"/>
    <n v="0"/>
    <n v="10"/>
    <n v="0"/>
    <n v="275"/>
    <n v="275"/>
    <x v="3"/>
    <x v="4"/>
    <s v="6.168480787485944, -75.58961373309424"/>
    <b v="1"/>
  </r>
  <r>
    <d v="2024-04-27T00:00:00"/>
    <x v="3"/>
    <x v="5"/>
    <x v="15"/>
    <x v="11"/>
    <s v="Jairo Gaviria"/>
    <s v="Participacion en la celebracion del mes del niño con juegos de educacion vial"/>
    <x v="0"/>
    <s v="Jairo Gaviria"/>
    <n v="130"/>
    <n v="80"/>
    <n v="210"/>
    <n v="200"/>
    <n v="0"/>
    <n v="10"/>
    <n v="0"/>
    <n v="210"/>
    <n v="210"/>
    <x v="3"/>
    <x v="4"/>
    <s v="6.1683686635427195, -75.5897434488382"/>
    <b v="1"/>
  </r>
  <r>
    <d v="2024-04-29T00:00:00"/>
    <x v="3"/>
    <x v="2"/>
    <x v="3"/>
    <x v="3"/>
    <s v="Jairo Gaviria"/>
    <s v="Capacitar a une personal de la empresa en funciones de auxiliar de transito"/>
    <x v="20"/>
    <s v="Daniela Meneses"/>
    <n v="5"/>
    <n v="0"/>
    <n v="5"/>
    <n v="0"/>
    <n v="0"/>
    <n v="5"/>
    <n v="0"/>
    <n v="5"/>
    <n v="5"/>
    <x v="1"/>
    <x v="1"/>
    <s v="6.168711266634744, -75.58963261322074"/>
    <b v="1"/>
  </r>
  <r>
    <d v="2024-04-29T00:00:00"/>
    <x v="3"/>
    <x v="5"/>
    <x v="15"/>
    <x v="11"/>
    <s v="Jairo Gaviria"/>
    <s v="Participacion en la celebracion del mes del niño con juegos de educacion vial"/>
    <x v="0"/>
    <s v="Jairo Gaviria"/>
    <n v="135"/>
    <n v="134"/>
    <n v="269"/>
    <n v="265"/>
    <n v="0"/>
    <n v="4"/>
    <n v="0"/>
    <n v="269"/>
    <n v="269"/>
    <x v="3"/>
    <x v="4"/>
    <s v="6.1683686635427195, -75.5897434488382"/>
    <b v="1"/>
  </r>
  <r>
    <d v="2024-04-30T00:00:00"/>
    <x v="3"/>
    <x v="3"/>
    <x v="13"/>
    <x v="2"/>
    <s v="Jairo Gaviria"/>
    <s v="Reunión de planeación de actividades con ANSV, CREVA y Gobernación de Antioquia"/>
    <x v="0"/>
    <s v="Jairo Gaviria"/>
    <n v="6"/>
    <n v="6"/>
    <n v="12"/>
    <n v="0"/>
    <n v="0"/>
    <n v="12"/>
    <n v="0"/>
    <n v="12"/>
    <n v="12"/>
    <x v="3"/>
    <x v="4"/>
    <s v="6.169974327016449, -75.58762056893539"/>
    <b v="1"/>
  </r>
  <r>
    <d v="2024-04-30T00:00:00"/>
    <x v="3"/>
    <x v="2"/>
    <x v="17"/>
    <x v="2"/>
    <s v="Jairo Gaviria"/>
    <s v="Reunión de planeación de actividades con representantes de empresas de transporte público individual"/>
    <x v="0"/>
    <s v="Sandra Mejía"/>
    <n v="1"/>
    <n v="4"/>
    <n v="5"/>
    <n v="0"/>
    <n v="0"/>
    <n v="5"/>
    <n v="0"/>
    <n v="5"/>
    <n v="5"/>
    <x v="1"/>
    <x v="1"/>
    <s v="6.168711266634744, -75.58963261322074"/>
    <b v="1"/>
  </r>
  <r>
    <d v="2024-04-30T00:00:00"/>
    <x v="3"/>
    <x v="2"/>
    <x v="18"/>
    <x v="11"/>
    <s v="Jairo Gaviria"/>
    <s v="Taller de sensibilización en educación y seguridad vial"/>
    <x v="21"/>
    <s v="Jaime Mejía"/>
    <n v="11"/>
    <n v="11"/>
    <n v="22"/>
    <n v="0"/>
    <n v="1"/>
    <n v="10"/>
    <n v="11"/>
    <n v="22"/>
    <n v="22"/>
    <x v="0"/>
    <x v="0"/>
    <s v="6.171904994104268, -75.59120400012577"/>
    <b v="1"/>
  </r>
  <r>
    <d v="2024-05-02T00:00:00"/>
    <x v="4"/>
    <x v="2"/>
    <x v="3"/>
    <x v="3"/>
    <s v="Jairo Gaviria"/>
    <s v="Capacitar a un personal de la empresa en funciones de auxiliar de transito"/>
    <x v="22"/>
    <s v="Julian Caro"/>
    <n v="2"/>
    <n v="0"/>
    <n v="2"/>
    <n v="0"/>
    <n v="0"/>
    <n v="1"/>
    <n v="1"/>
    <n v="2"/>
    <n v="2"/>
    <x v="1"/>
    <x v="1"/>
    <s v="6.1683686635427195, -75.5897434488382"/>
    <b v="1"/>
  </r>
  <r>
    <d v="2024-05-04T00:00:00"/>
    <x v="4"/>
    <x v="4"/>
    <x v="19"/>
    <x v="13"/>
    <s v="Jairo Gaviria"/>
    <s v="Realizaer el proceso de inscripcion con todo el personal de la patrulla"/>
    <x v="0"/>
    <s v="Jairo Gaviria"/>
    <n v="15"/>
    <n v="20"/>
    <n v="35"/>
    <n v="31"/>
    <n v="3"/>
    <n v="1"/>
    <n v="0"/>
    <n v="35"/>
    <n v="35"/>
    <x v="1"/>
    <x v="1"/>
    <s v="6.165319, -75.581362"/>
    <b v="1"/>
  </r>
  <r>
    <d v="2024-05-06T00:00:00"/>
    <x v="4"/>
    <x v="2"/>
    <x v="20"/>
    <x v="14"/>
    <s v="Juan Carlos Caicedo"/>
    <s v="Presentar al grupo de pedagógicos de la Secretaria de Movilidad las acciones que se realizan desde seguridad vial"/>
    <x v="0"/>
    <s v="Juan David Rodriguez"/>
    <n v="13"/>
    <n v="4"/>
    <n v="17"/>
    <n v="0"/>
    <n v="0"/>
    <n v="17"/>
    <n v="0"/>
    <n v="17"/>
    <n v="17"/>
    <x v="8"/>
    <x v="14"/>
    <s v="6.175015719866511, -75.57612161937912"/>
    <b v="1"/>
  </r>
  <r>
    <d v="2024-05-07T00:00:00"/>
    <x v="4"/>
    <x v="1"/>
    <x v="16"/>
    <x v="2"/>
    <s v="Jairo Gaviria"/>
    <s v="Reunion de planeacion de las actividades y capacitaciones de educacion y seguridad vial"/>
    <x v="23"/>
    <s v="Lineth Hernandez"/>
    <n v="2"/>
    <n v="1"/>
    <n v="3"/>
    <n v="0"/>
    <n v="0"/>
    <n v="3"/>
    <n v="0"/>
    <n v="3"/>
    <n v="3"/>
    <x v="3"/>
    <x v="15"/>
    <s v="6.172741, -75.581248"/>
    <b v="1"/>
  </r>
  <r>
    <d v="2024-05-07T00:00:00"/>
    <x v="4"/>
    <x v="1"/>
    <x v="12"/>
    <x v="2"/>
    <s v="Jairo Gaviria"/>
    <s v="Reunion de planeacion de las actividades y capacitaciones de educacion y seguridad vial"/>
    <x v="23"/>
    <s v="Lineth Hernandez"/>
    <n v="2"/>
    <n v="1"/>
    <n v="3"/>
    <n v="0"/>
    <n v="0"/>
    <n v="3"/>
    <n v="0"/>
    <n v="3"/>
    <n v="3"/>
    <x v="3"/>
    <x v="15"/>
    <s v="6.172741, -75.581248"/>
    <b v="1"/>
  </r>
  <r>
    <d v="2024-05-07T00:00:00"/>
    <x v="4"/>
    <x v="1"/>
    <x v="16"/>
    <x v="2"/>
    <s v="Jairo Gaviria"/>
    <s v="Reunion de planeaion de las actividades de la patrulla escolar"/>
    <x v="24"/>
    <s v="Claudia Patricia Hernandez"/>
    <n v="7"/>
    <n v="1"/>
    <n v="8"/>
    <n v="8"/>
    <n v="0"/>
    <n v="0"/>
    <n v="0"/>
    <n v="8"/>
    <n v="8"/>
    <x v="3"/>
    <x v="16"/>
    <s v="6.165319, -75.581362"/>
    <b v="1"/>
  </r>
  <r>
    <d v="2024-05-08T00:00:00"/>
    <x v="4"/>
    <x v="1"/>
    <x v="16"/>
    <x v="9"/>
    <s v="Jairo Gaviria"/>
    <s v="Inaguracion de la pista inafantil del colegio Colombo Britanico"/>
    <x v="14"/>
    <s v="Laura Gil"/>
    <n v="85"/>
    <n v="115"/>
    <n v="200"/>
    <n v="180"/>
    <n v="0"/>
    <n v="20"/>
    <n v="0"/>
    <n v="200"/>
    <n v="200"/>
    <x v="5"/>
    <x v="7"/>
    <s v="6.177194, -75.584143"/>
    <b v="1"/>
  </r>
  <r>
    <d v="2024-05-08T00:00:00"/>
    <x v="4"/>
    <x v="0"/>
    <x v="12"/>
    <x v="2"/>
    <s v="Jairo Gaviria"/>
    <s v="Reunion de planeacion de las actividades y capacitaciones de educacion y seguridad vial"/>
    <x v="14"/>
    <s v="Andres Gomez"/>
    <n v="2"/>
    <n v="0"/>
    <n v="2"/>
    <n v="0"/>
    <n v="0"/>
    <n v="2"/>
    <n v="0"/>
    <n v="2"/>
    <n v="2"/>
    <x v="3"/>
    <x v="4"/>
    <s v="6.172711, -75.586413"/>
    <b v="1"/>
  </r>
  <r>
    <d v="2024-05-09T00:00:00"/>
    <x v="4"/>
    <x v="0"/>
    <x v="12"/>
    <x v="1"/>
    <s v="Jairo Gaviria"/>
    <s v="Huamanizando la movilidad con la charla de educacion y seguridad vial para os alumnos de octavo,noveno,decimo y once"/>
    <x v="1"/>
    <s v="Ana Luz Heano Ospina"/>
    <n v="0"/>
    <n v="0"/>
    <n v="0"/>
    <n v="0"/>
    <n v="0"/>
    <n v="0"/>
    <n v="0"/>
    <n v="0"/>
    <n v="0"/>
    <x v="3"/>
    <x v="16"/>
    <s v="6.165319, -75.581362"/>
    <b v="1"/>
  </r>
  <r>
    <d v="2024-05-10T00:00:00"/>
    <x v="4"/>
    <x v="2"/>
    <x v="3"/>
    <x v="3"/>
    <s v="Jairo Gaviria"/>
    <s v="Capacitar a un personal de la empresa en funciones de auxiliar de transito"/>
    <x v="25"/>
    <s v="Zurelly Bernal"/>
    <n v="2"/>
    <n v="0"/>
    <n v="2"/>
    <n v="0"/>
    <n v="0"/>
    <n v="2"/>
    <n v="0"/>
    <n v="2"/>
    <n v="2"/>
    <x v="1"/>
    <x v="1"/>
    <s v="6.1683686635427195, -75.5897434488382"/>
    <b v="1"/>
  </r>
  <r>
    <d v="2024-05-11T00:00:00"/>
    <x v="4"/>
    <x v="4"/>
    <x v="9"/>
    <x v="0"/>
    <s v="Jairo Gaviria"/>
    <s v="El conductor sancionado le dicta una charla de sencibilizacion a un grupo de padres de familia de la patrulla infantil de transitosobre la responsabilidad "/>
    <x v="0"/>
    <s v="Juan Esteban Betancur"/>
    <n v="4"/>
    <n v="10"/>
    <n v="14"/>
    <n v="2"/>
    <n v="2"/>
    <n v="10"/>
    <n v="0"/>
    <n v="14"/>
    <n v="14"/>
    <x v="1"/>
    <x v="1"/>
    <s v="6.172711, -75.586413"/>
    <b v="1"/>
  </r>
  <r>
    <d v="2024-05-14T00:00:00"/>
    <x v="4"/>
    <x v="1"/>
    <x v="4"/>
    <x v="1"/>
    <s v="Jairo Gaviria"/>
    <s v="Taller sobre la transversalidad de la educacion vial con las diferentes areas del conocimiento"/>
    <x v="17"/>
    <s v="Gilma Zapata"/>
    <n v="4"/>
    <n v="13"/>
    <n v="17"/>
    <n v="0"/>
    <n v="0"/>
    <n v="17"/>
    <n v="0"/>
    <n v="17"/>
    <n v="17"/>
    <x v="3"/>
    <x v="4"/>
    <s v="6.172711, -75.586413"/>
    <b v="1"/>
  </r>
  <r>
    <d v="2024-05-15T00:00:00"/>
    <x v="4"/>
    <x v="1"/>
    <x v="16"/>
    <x v="11"/>
    <s v="Jairo Gaviria"/>
    <s v="Capacitacion a los alumnos que conforman la patrulla escolar de transito sobre las señales de transito y la funcion que van a desempeñar al ingreso y salidad de la institucion"/>
    <x v="24"/>
    <s v="Claudia Patricia Hernandez"/>
    <n v="7"/>
    <n v="2"/>
    <n v="9"/>
    <n v="9"/>
    <n v="0"/>
    <n v="0"/>
    <n v="0"/>
    <n v="9"/>
    <n v="9"/>
    <x v="3"/>
    <x v="16"/>
    <s v="6.165319, -75.581362"/>
    <b v="1"/>
  </r>
  <r>
    <d v="2024-05-16T00:00:00"/>
    <x v="4"/>
    <x v="1"/>
    <x v="16"/>
    <x v="11"/>
    <s v="Jairo Gaviria"/>
    <s v="Lanzamiento y presentacion del PME y de la patrulla escolar de transito a la comunidad educativa"/>
    <x v="24"/>
    <s v="Claudia Patricia Hernandez"/>
    <n v="166"/>
    <n v="134"/>
    <n v="300"/>
    <n v="288"/>
    <n v="0"/>
    <n v="12"/>
    <n v="0"/>
    <n v="300"/>
    <n v="300"/>
    <x v="3"/>
    <x v="16"/>
    <s v="6.165319, -75.581362"/>
    <b v="1"/>
  </r>
  <r>
    <d v="2024-05-17T00:00:00"/>
    <x v="4"/>
    <x v="1"/>
    <x v="9"/>
    <x v="8"/>
    <s v="Jairo Gaviria"/>
    <s v="Realizacion de la escuela de padres de familia sobre el tema humanizando la movilidad"/>
    <x v="17"/>
    <s v="Adriana Zuluaga"/>
    <n v="8"/>
    <n v="49"/>
    <n v="57"/>
    <n v="0"/>
    <n v="0"/>
    <n v="57"/>
    <n v="0"/>
    <n v="57"/>
    <n v="57"/>
    <x v="3"/>
    <x v="4"/>
    <s v="6.172711, -75.586413"/>
    <b v="1"/>
  </r>
  <r>
    <d v="2024-05-18T00:00:00"/>
    <x v="4"/>
    <x v="2"/>
    <x v="3"/>
    <x v="3"/>
    <s v="Jairo Gaviria"/>
    <s v="Capacitar a un personal de la empresa en funciones de auxiliar de transito"/>
    <x v="26"/>
    <s v="Angela Sierra"/>
    <n v="4"/>
    <n v="0"/>
    <n v="4"/>
    <n v="0"/>
    <n v="0"/>
    <n v="4"/>
    <n v="0"/>
    <n v="4"/>
    <n v="4"/>
    <x v="1"/>
    <x v="1"/>
    <s v="6.1683686635427195, -75.5897434488382"/>
    <b v="1"/>
  </r>
  <r>
    <d v="2024-05-20T00:00:00"/>
    <x v="4"/>
    <x v="0"/>
    <x v="0"/>
    <x v="0"/>
    <s v="Jairo Gaviria"/>
    <s v="Sensibilización en prevención de la conducción bajo los efectos del alcohol o sustancias psicoactivas."/>
    <x v="0"/>
    <s v="Sergio  Andres Mejia Gonzalez"/>
    <n v="1"/>
    <n v="0"/>
    <n v="1"/>
    <n v="0"/>
    <n v="0"/>
    <n v="1"/>
    <n v="0"/>
    <n v="1"/>
    <n v="1"/>
    <x v="1"/>
    <x v="1"/>
    <s v="6.1683686635427195, -75.5897434488382"/>
    <b v="1"/>
  </r>
  <r>
    <d v="2024-05-21T00:00:00"/>
    <x v="4"/>
    <x v="0"/>
    <x v="0"/>
    <x v="0"/>
    <s v="Jairo Gaviria"/>
    <s v="Sensibilización en prevención de la conducción bajo los efectos del alcohol o sustancias psicoactivas."/>
    <x v="0"/>
    <s v="Joan Sebastian Ospina"/>
    <n v="1"/>
    <n v="0"/>
    <n v="1"/>
    <n v="0"/>
    <n v="0"/>
    <n v="1"/>
    <n v="0"/>
    <n v="1"/>
    <n v="1"/>
    <x v="1"/>
    <x v="1"/>
    <s v="6.162272, -75.594035"/>
    <b v="1"/>
  </r>
  <r>
    <d v="2024-05-21T00:00:00"/>
    <x v="4"/>
    <x v="0"/>
    <x v="13"/>
    <x v="15"/>
    <s v="Jairo Gaviria"/>
    <s v="Nos vemos en elvalle de aburra Tejiendo sueños por la movilidad encuentros con enfoque de genero"/>
    <x v="12"/>
    <s v="ANSV"/>
    <n v="4"/>
    <n v="10"/>
    <n v="14"/>
    <n v="0"/>
    <n v="0"/>
    <n v="13"/>
    <n v="1"/>
    <n v="14"/>
    <n v="14"/>
    <x v="4"/>
    <x v="17"/>
    <s v="6.17535214705277, -75.5906234953519"/>
    <b v="1"/>
  </r>
  <r>
    <d v="2024-05-22T00:00:00"/>
    <x v="4"/>
    <x v="0"/>
    <x v="10"/>
    <x v="6"/>
    <s v="Jairo Gaviria"/>
    <s v="Campaña de prevencion y sencibilizacion a conductores de motociclteta con el apoyo de la ANSV con el programa de motodestreza"/>
    <x v="0"/>
    <s v="ANSV"/>
    <n v="86"/>
    <n v="12"/>
    <n v="98"/>
    <n v="0"/>
    <n v="0"/>
    <n v="98"/>
    <n v="0"/>
    <n v="98"/>
    <n v="98"/>
    <x v="3"/>
    <x v="4"/>
    <s v="6.1698512969772015, -75.58747014274478"/>
    <b v="1"/>
  </r>
  <r>
    <d v="2024-05-22T00:00:00"/>
    <x v="4"/>
    <x v="0"/>
    <x v="5"/>
    <x v="8"/>
    <s v="Jairo Gaviria"/>
    <s v="Reunion con el equipo de transporte con el objetivo de sencibilizar la campaña HUMANIZAR LA MOVILIDAD"/>
    <x v="0"/>
    <s v="Julian Espinal"/>
    <n v="3"/>
    <n v="1"/>
    <n v="4"/>
    <n v="0"/>
    <n v="0"/>
    <n v="4"/>
    <n v="0"/>
    <n v="4"/>
    <n v="4"/>
    <x v="1"/>
    <x v="1"/>
    <s v="6.1683686635427195, -75.5897434488382"/>
    <b v="1"/>
  </r>
  <r>
    <d v="2024-05-23T00:00:00"/>
    <x v="4"/>
    <x v="1"/>
    <x v="4"/>
    <x v="2"/>
    <s v="Jairo Gaviria"/>
    <s v="Reunion de planeacion de los tres momentos en las instituciones educativas"/>
    <x v="27"/>
    <s v="Paula Ramirez"/>
    <n v="2"/>
    <n v="1"/>
    <n v="3"/>
    <n v="0"/>
    <n v="0"/>
    <n v="3"/>
    <n v="0"/>
    <n v="3"/>
    <n v="3"/>
    <x v="1"/>
    <x v="18"/>
    <s v="6.162272, -75.594035"/>
    <b v="1"/>
  </r>
  <r>
    <d v="2024-05-23T00:00:00"/>
    <x v="4"/>
    <x v="0"/>
    <x v="10"/>
    <x v="6"/>
    <s v="Jairo Gaviria"/>
    <s v="Campaña de prevencion y sencibilizacion a conductores de motociclteta con el apoyo de la ANSV con el programa de motodestreza"/>
    <x v="0"/>
    <s v="ANSV"/>
    <n v="98"/>
    <n v="12"/>
    <n v="110"/>
    <n v="0"/>
    <n v="0"/>
    <n v="110"/>
    <n v="0"/>
    <n v="110"/>
    <n v="110"/>
    <x v="3"/>
    <x v="4"/>
    <s v="6.172741, -75.581248"/>
    <b v="1"/>
  </r>
  <r>
    <d v="2024-05-23T00:00:00"/>
    <x v="4"/>
    <x v="1"/>
    <x v="9"/>
    <x v="16"/>
    <s v="Jairo Gaviria"/>
    <s v="Dialogos de seguridad vial con enfoque generacional"/>
    <x v="15"/>
    <s v="Sonia Gomez"/>
    <n v="3"/>
    <n v="9"/>
    <n v="12"/>
    <n v="0"/>
    <n v="0"/>
    <n v="11"/>
    <n v="1"/>
    <n v="12"/>
    <n v="12"/>
    <x v="1"/>
    <x v="6"/>
    <s v="6.159622604385062, -75.60006935106206"/>
    <b v="1"/>
  </r>
  <r>
    <d v="2024-05-23T00:00:00"/>
    <x v="4"/>
    <x v="2"/>
    <x v="5"/>
    <x v="6"/>
    <s v="Jairo Gaviria"/>
    <s v="Capacitacion y realizacion de una prueba de ruta para conducotres de motocicleta de diferentes dependencias de la admon municipal"/>
    <x v="0"/>
    <s v="ANSV"/>
    <n v="40"/>
    <n v="0"/>
    <n v="40"/>
    <n v="0"/>
    <n v="0"/>
    <n v="40"/>
    <n v="0"/>
    <n v="40"/>
    <n v="40"/>
    <x v="3"/>
    <x v="4"/>
    <s v="6.169034948204755, -75.58850786073194"/>
    <b v="1"/>
  </r>
  <r>
    <d v="2024-05-24T00:00:00"/>
    <x v="4"/>
    <x v="5"/>
    <x v="19"/>
    <x v="1"/>
    <s v="Jairo Gaviria"/>
    <s v="Reunion con la delegada de la secretaria de salud con el proposito de organizar las actidades de apoyo a patrulleros y sus familias desde el area sicosocial"/>
    <x v="0"/>
    <s v="Natalia Munera"/>
    <n v="1"/>
    <n v="1"/>
    <n v="2"/>
    <n v="0"/>
    <n v="0"/>
    <n v="2"/>
    <n v="0"/>
    <n v="2"/>
    <n v="2"/>
    <x v="3"/>
    <x v="4"/>
    <s v="6.168480787485944, -75.58961373309424"/>
    <b v="1"/>
  </r>
  <r>
    <d v="2024-05-24T00:00:00"/>
    <x v="4"/>
    <x v="1"/>
    <x v="16"/>
    <x v="1"/>
    <s v="Yuliana Ramírez"/>
    <s v="Capacitar a los alumnos del grado primero en habilidades y conocimientos como actores viales"/>
    <x v="23"/>
    <s v="Lineth Hernandez"/>
    <n v="30"/>
    <n v="28"/>
    <n v="58"/>
    <n v="58"/>
    <n v="0"/>
    <n v="0"/>
    <n v="0"/>
    <n v="58"/>
    <n v="58"/>
    <x v="3"/>
    <x v="15"/>
    <s v="6.172741, -75.581248"/>
    <b v="1"/>
  </r>
  <r>
    <d v="2024-05-28T00:00:00"/>
    <x v="4"/>
    <x v="1"/>
    <x v="16"/>
    <x v="1"/>
    <s v="Jairo Gaviria"/>
    <s v="Capacitar a los alumnos del grado segundo en habilidades y conocimientos como actores viales"/>
    <x v="23"/>
    <s v="Lineth Hernandez"/>
    <n v="11"/>
    <n v="9"/>
    <n v="20"/>
    <n v="20"/>
    <n v="0"/>
    <n v="0"/>
    <n v="0"/>
    <n v="20"/>
    <n v="20"/>
    <x v="3"/>
    <x v="15"/>
    <s v="6.172741, -75.581248"/>
    <b v="1"/>
  </r>
  <r>
    <d v="2024-05-29T00:00:00"/>
    <x v="4"/>
    <x v="2"/>
    <x v="8"/>
    <x v="1"/>
    <s v="Jairo Gaviria"/>
    <s v="Capacitar a un personal de cuidadoras del municipio de envigado sobre sus responsabilidad como actores viales"/>
    <x v="0"/>
    <s v="Claudia Elena Arango"/>
    <n v="2"/>
    <n v="73"/>
    <n v="75"/>
    <n v="0"/>
    <n v="0"/>
    <n v="75"/>
    <n v="0"/>
    <n v="75"/>
    <n v="75"/>
    <x v="9"/>
    <x v="13"/>
    <s v="6.158876236462645, -75.58084809978003"/>
    <b v="1"/>
  </r>
  <r>
    <d v="2024-05-31T00:00:00"/>
    <x v="4"/>
    <x v="1"/>
    <x v="2"/>
    <x v="8"/>
    <s v="Jairo Gaviria"/>
    <s v="Taller sobre humanizando la movilidad para los docentes de  CREAR UNIDOS"/>
    <x v="28"/>
    <s v="Erika Suarez"/>
    <n v="5"/>
    <n v="4"/>
    <n v="9"/>
    <n v="0"/>
    <n v="0"/>
    <n v="9"/>
    <n v="0"/>
    <n v="9"/>
    <n v="9"/>
    <x v="10"/>
    <x v="19"/>
    <s v="6.173354, -75.569704"/>
    <b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dinámica1" cacheId="352" applyNumberFormats="0" applyBorderFormats="0" applyFontFormats="0" applyPatternFormats="0" applyAlignmentFormats="0" applyWidthHeightFormats="1" dataCaption="Valores" grandTotalCaption="Total general trimestre" updatedVersion="8" minRefreshableVersion="3" useAutoFormatting="1" itemPrintTitles="1" createdVersion="5" indent="0" outline="1" outlineData="1" multipleFieldFilters="0" rowHeaderCaption="MES" colHeaderCaption="PÚBLICOS">
  <location ref="B15:X22" firstHeaderRow="1" firstDataRow="2" firstDataCol="1"/>
  <pivotFields count="22">
    <pivotField showAll="0" defaultSubtotal="0"/>
    <pivotField axis="axisRow" showAll="0" defaultSubtotal="0">
      <items count="5">
        <item x="0"/>
        <item x="1"/>
        <item x="2"/>
        <item x="3"/>
        <item x="4"/>
      </items>
    </pivotField>
    <pivotField showAll="0" defaultSubtotal="0"/>
    <pivotField axis="axisCol" showAll="0" sortType="ascending">
      <items count="22">
        <item x="20"/>
        <item x="3"/>
        <item x="7"/>
        <item x="5"/>
        <item x="17"/>
        <item x="6"/>
        <item x="0"/>
        <item x="4"/>
        <item x="2"/>
        <item x="8"/>
        <item x="16"/>
        <item x="12"/>
        <item x="19"/>
        <item x="10"/>
        <item x="15"/>
        <item x="9"/>
        <item x="11"/>
        <item x="18"/>
        <item x="13"/>
        <item x="14"/>
        <item x="1"/>
        <item t="default"/>
      </items>
    </pivotField>
    <pivotField showAll="0"/>
    <pivotField showAll="0"/>
    <pivotField showAll="0" defaultSubtotal="0"/>
    <pivotField showAl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showAll="0"/>
    <pivotField showAll="0" defaultSubtotal="0"/>
    <pivotField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Suma de TOTAL SEXO" fld="11" baseField="0" baseItem="0"/>
  </dataFields>
  <formats count="30">
    <format dxfId="160">
      <pivotArea outline="0" collapsedLevelsAreSubtotals="1" fieldPosition="0"/>
    </format>
    <format dxfId="161">
      <pivotArea dataOnly="0" labelOnly="1" fieldPosition="0">
        <references count="1">
          <reference field="3" count="0"/>
        </references>
      </pivotArea>
    </format>
    <format dxfId="162">
      <pivotArea dataOnly="0" labelOnly="1" grandCol="1" outline="0" fieldPosition="0"/>
    </format>
    <format dxfId="163">
      <pivotArea outline="0" collapsedLevelsAreSubtotals="1" fieldPosition="0"/>
    </format>
    <format dxfId="164">
      <pivotArea dataOnly="0" labelOnly="1" fieldPosition="0">
        <references count="1">
          <reference field="3" count="0"/>
        </references>
      </pivotArea>
    </format>
    <format dxfId="165">
      <pivotArea dataOnly="0" labelOnly="1" grandCol="1" outline="0" fieldPosition="0"/>
    </format>
    <format dxfId="166">
      <pivotArea outline="0" collapsedLevelsAreSubtotals="1" fieldPosition="0"/>
    </format>
    <format dxfId="167">
      <pivotArea dataOnly="0" labelOnly="1" fieldPosition="0">
        <references count="1">
          <reference field="3" count="0"/>
        </references>
      </pivotArea>
    </format>
    <format dxfId="168">
      <pivotArea dataOnly="0" labelOnly="1" grandCol="1" outline="0" fieldPosition="0"/>
    </format>
    <format dxfId="169">
      <pivotArea dataOnly="0" labelOnly="1" grandRow="1" outline="0" fieldPosition="0"/>
    </format>
    <format dxfId="170">
      <pivotArea outline="0" collapsedLevelsAreSubtotals="1" fieldPosition="0"/>
    </format>
    <format dxfId="171">
      <pivotArea dataOnly="0" labelOnly="1" grandRow="1" outline="0" fieldPosition="0"/>
    </format>
    <format dxfId="172">
      <pivotArea dataOnly="0" labelOnly="1" fieldPosition="0">
        <references count="1">
          <reference field="3" count="0"/>
        </references>
      </pivotArea>
    </format>
    <format dxfId="173">
      <pivotArea dataOnly="0" labelOnly="1" grandCol="1" outline="0" fieldPosition="0"/>
    </format>
    <format dxfId="174">
      <pivotArea type="origin" dataOnly="0" labelOnly="1" outline="0" fieldPosition="0"/>
    </format>
    <format dxfId="175">
      <pivotArea field="3" type="button" dataOnly="0" labelOnly="1" outline="0" axis="axisCol" fieldPosition="0"/>
    </format>
    <format dxfId="176">
      <pivotArea field="3" grandRow="1" outline="0" collapsedLevelsAreSubtotals="1" axis="axisCol" fieldPosition="0">
        <references count="1">
          <reference field="3" count="1" selected="0">
            <x v="8"/>
          </reference>
        </references>
      </pivotArea>
    </format>
    <format dxfId="177">
      <pivotArea field="3" grandRow="1" outline="0" collapsedLevelsAreSubtotals="1" axis="axisCol" fieldPosition="0">
        <references count="1">
          <reference field="3" count="2" selected="0">
            <x v="10"/>
            <x v="11"/>
          </reference>
        </references>
      </pivotArea>
    </format>
    <format dxfId="178">
      <pivotArea dataOnly="0" labelOnly="1" grandRow="1" outline="0" fieldPosition="0"/>
    </format>
    <format dxfId="179">
      <pivotArea dataOnly="0" labelOnly="1" fieldPosition="0">
        <references count="1">
          <reference field="3" count="13">
            <x v="1"/>
            <x v="2"/>
            <x v="3"/>
            <x v="5"/>
            <x v="6"/>
            <x v="7"/>
            <x v="8"/>
            <x v="9"/>
            <x v="12"/>
            <x v="13"/>
            <x v="15"/>
            <x v="16"/>
            <x v="20"/>
          </reference>
        </references>
      </pivotArea>
    </format>
    <format dxfId="180">
      <pivotArea dataOnly="0" labelOnly="1" grandCol="1" outline="0" fieldPosition="0"/>
    </format>
    <format dxfId="181">
      <pivotArea grandRow="1" outline="0" collapsedLevelsAreSubtotals="1" fieldPosition="0"/>
    </format>
    <format dxfId="182">
      <pivotArea dataOnly="0" labelOnly="1" grandRow="1" outline="0" fieldPosition="0"/>
    </format>
    <format dxfId="183">
      <pivotArea type="all" dataOnly="0" outline="0" fieldPosition="0"/>
    </format>
    <format dxfId="184">
      <pivotArea outline="0" collapsedLevelsAreSubtotals="1" fieldPosition="0"/>
    </format>
    <format dxfId="185">
      <pivotArea dataOnly="0" labelOnly="1" fieldPosition="0">
        <references count="1">
          <reference field="1" count="0"/>
        </references>
      </pivotArea>
    </format>
    <format dxfId="186">
      <pivotArea dataOnly="0" labelOnly="1" grandRow="1" outline="0" fieldPosition="0"/>
    </format>
    <format dxfId="187">
      <pivotArea dataOnly="0" labelOnly="1" fieldPosition="0">
        <references count="1">
          <reference field="3" count="13">
            <x v="1"/>
            <x v="2"/>
            <x v="3"/>
            <x v="5"/>
            <x v="6"/>
            <x v="7"/>
            <x v="8"/>
            <x v="9"/>
            <x v="12"/>
            <x v="13"/>
            <x v="15"/>
            <x v="16"/>
            <x v="20"/>
          </reference>
        </references>
      </pivotArea>
    </format>
    <format dxfId="188">
      <pivotArea dataOnly="0" labelOnly="1" grandCol="1" outline="0" fieldPosition="0"/>
    </format>
    <format dxfId="189">
      <pivotArea type="origi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TablaDinámica10" cacheId="352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rowHeaderCaption="EXPERIENCIAS CIUDADANAS">
  <location ref="E131:F140" firstHeaderRow="1" firstDataRow="1" firstDataCol="1" rowPageCount="2" colPageCount="1"/>
  <pivotFields count="22">
    <pivotField showAll="0"/>
    <pivotField axis="axisPage" multipleItemSelectionAllowed="1" showAll="0">
      <items count="6">
        <item x="0"/>
        <item x="3"/>
        <item x="1"/>
        <item x="2"/>
        <item x="4"/>
        <item t="default"/>
      </items>
    </pivotField>
    <pivotField axis="axisPage" multipleItemSelectionAllowed="1" showAll="0" defaultSubtotal="0">
      <items count="7">
        <item h="1" x="2"/>
        <item h="1" x="1"/>
        <item h="1" x="6"/>
        <item x="0"/>
        <item h="1" x="4"/>
        <item h="1" x="3"/>
        <item h="1" x="5"/>
      </items>
    </pivotField>
    <pivotField showAll="0"/>
    <pivotField axis="axisRow" showAll="0">
      <items count="19">
        <item x="7"/>
        <item x="5"/>
        <item x="6"/>
        <item x="0"/>
        <item x="4"/>
        <item x="2"/>
        <item x="8"/>
        <item x="16"/>
        <item m="1" x="17"/>
        <item x="3"/>
        <item x="13"/>
        <item x="11"/>
        <item x="1"/>
        <item x="9"/>
        <item x="10"/>
        <item x="12"/>
        <item x="14"/>
        <item x="15"/>
        <item t="default"/>
      </items>
    </pivotField>
    <pivotField showAll="0"/>
    <pivotField showAll="0" defaultSubtota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sortType="ascending">
      <items count="12">
        <item x="4"/>
        <item x="6"/>
        <item x="7"/>
        <item x="5"/>
        <item x="8"/>
        <item x="10"/>
        <item x="2"/>
        <item x="9"/>
        <item x="1"/>
        <item x="0"/>
        <item x="3"/>
        <item t="default"/>
      </items>
    </pivotField>
    <pivotField showAll="0"/>
    <pivotField showAll="0"/>
    <pivotField showAll="0"/>
  </pivotFields>
  <rowFields count="1">
    <field x="4"/>
  </rowFields>
  <rowItems count="9">
    <i>
      <x v="1"/>
    </i>
    <i>
      <x v="2"/>
    </i>
    <i>
      <x v="3"/>
    </i>
    <i>
      <x v="5"/>
    </i>
    <i>
      <x v="6"/>
    </i>
    <i>
      <x v="12"/>
    </i>
    <i>
      <x v="13"/>
    </i>
    <i>
      <x v="17"/>
    </i>
    <i t="grand">
      <x/>
    </i>
  </rowItems>
  <colItems count="1">
    <i/>
  </colItems>
  <pageFields count="2">
    <pageField fld="1" hier="-1"/>
    <pageField fld="2" hier="-1"/>
  </pageFields>
  <dataFields count="1">
    <dataField name="Suma de TOTAL SEXO" fld="11" baseField="0" baseItem="0"/>
  </dataFields>
  <formats count="18">
    <format dxfId="142">
      <pivotArea type="all" dataOnly="0" outline="0" fieldPosition="0"/>
    </format>
    <format dxfId="143">
      <pivotArea outline="0" collapsedLevelsAreSubtotals="1" fieldPosition="0"/>
    </format>
    <format dxfId="144">
      <pivotArea field="18" type="button" dataOnly="0" labelOnly="1" outline="0"/>
    </format>
    <format dxfId="145">
      <pivotArea dataOnly="0" labelOnly="1" outline="0" axis="axisValues" fieldPosition="0"/>
    </format>
    <format dxfId="146">
      <pivotArea dataOnly="0" labelOnly="1" grandRow="1" outline="0" fieldPosition="0"/>
    </format>
    <format dxfId="147">
      <pivotArea outline="0" collapsedLevelsAreSubtotals="1" fieldPosition="0"/>
    </format>
    <format dxfId="148">
      <pivotArea collapsedLevelsAreSubtotals="1" fieldPosition="0">
        <references count="1">
          <reference field="4" count="0"/>
        </references>
      </pivotArea>
    </format>
    <format dxfId="149">
      <pivotArea dataOnly="0" labelOnly="1" fieldPosition="0">
        <references count="1">
          <reference field="4" count="0"/>
        </references>
      </pivotArea>
    </format>
    <format dxfId="150">
      <pivotArea collapsedLevelsAreSubtotals="1" fieldPosition="0">
        <references count="1">
          <reference field="4" count="7">
            <x v="0"/>
            <x v="1"/>
            <x v="5"/>
            <x v="6"/>
            <x v="7"/>
            <x v="8"/>
            <x v="11"/>
          </reference>
        </references>
      </pivotArea>
    </format>
    <format dxfId="151">
      <pivotArea dataOnly="0" labelOnly="1" fieldPosition="0">
        <references count="1">
          <reference field="4" count="7">
            <x v="0"/>
            <x v="1"/>
            <x v="5"/>
            <x v="6"/>
            <x v="7"/>
            <x v="8"/>
            <x v="11"/>
          </reference>
        </references>
      </pivotArea>
    </format>
    <format dxfId="152">
      <pivotArea collapsedLevelsAreSubtotals="1" fieldPosition="0">
        <references count="1">
          <reference field="4" count="1">
            <x v="0"/>
          </reference>
        </references>
      </pivotArea>
    </format>
    <format dxfId="153">
      <pivotArea dataOnly="0" labelOnly="1" fieldPosition="0">
        <references count="1">
          <reference field="4" count="1">
            <x v="0"/>
          </reference>
        </references>
      </pivotArea>
    </format>
    <format dxfId="154">
      <pivotArea collapsedLevelsAreSubtotals="1" fieldPosition="0">
        <references count="1">
          <reference field="4" count="1">
            <x v="5"/>
          </reference>
        </references>
      </pivotArea>
    </format>
    <format dxfId="155">
      <pivotArea dataOnly="0" labelOnly="1" fieldPosition="0">
        <references count="1">
          <reference field="4" count="1">
            <x v="5"/>
          </reference>
        </references>
      </pivotArea>
    </format>
    <format dxfId="156">
      <pivotArea collapsedLevelsAreSubtotals="1" fieldPosition="0">
        <references count="1">
          <reference field="4" count="2">
            <x v="6"/>
            <x v="7"/>
          </reference>
        </references>
      </pivotArea>
    </format>
    <format dxfId="157">
      <pivotArea dataOnly="0" labelOnly="1" fieldPosition="0">
        <references count="1">
          <reference field="4" count="2">
            <x v="6"/>
            <x v="7"/>
          </reference>
        </references>
      </pivotArea>
    </format>
    <format dxfId="158">
      <pivotArea collapsedLevelsAreSubtotals="1" fieldPosition="0">
        <references count="1">
          <reference field="4" count="1">
            <x v="11"/>
          </reference>
        </references>
      </pivotArea>
    </format>
    <format dxfId="159">
      <pivotArea dataOnly="0" labelOnly="1" fieldPosition="0">
        <references count="1">
          <reference field="4" count="1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TablaDinámica3" cacheId="352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rowHeaderCaption="EMPRESAS">
  <location ref="E82:F90" firstHeaderRow="1" firstDataRow="1" firstDataCol="1" rowPageCount="2" colPageCount="1"/>
  <pivotFields count="22">
    <pivotField showAll="0"/>
    <pivotField axis="axisPage" multipleItemSelectionAllowed="1" showAll="0">
      <items count="6">
        <item x="0"/>
        <item x="3"/>
        <item x="1"/>
        <item x="2"/>
        <item x="4"/>
        <item t="default"/>
      </items>
    </pivotField>
    <pivotField axis="axisPage" multipleItemSelectionAllowed="1" showAll="0" defaultSubtotal="0">
      <items count="7">
        <item x="2"/>
        <item h="1" x="1"/>
        <item h="1" x="6"/>
        <item h="1" x="0"/>
        <item h="1" x="4"/>
        <item h="1" x="3"/>
        <item h="1" x="5"/>
      </items>
    </pivotField>
    <pivotField axis="axisRow" showAll="0">
      <items count="22">
        <item x="20"/>
        <item x="3"/>
        <item x="7"/>
        <item x="5"/>
        <item x="6"/>
        <item x="0"/>
        <item x="4"/>
        <item x="2"/>
        <item x="8"/>
        <item x="16"/>
        <item x="12"/>
        <item x="19"/>
        <item x="10"/>
        <item x="9"/>
        <item x="11"/>
        <item x="18"/>
        <item x="13"/>
        <item x="1"/>
        <item x="14"/>
        <item x="15"/>
        <item x="17"/>
        <item t="default"/>
      </items>
    </pivotField>
    <pivotField showAll="0"/>
    <pivotField showAll="0"/>
    <pivotField showAll="0" defaultSubtota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sortType="ascending">
      <items count="12">
        <item x="4"/>
        <item x="6"/>
        <item x="7"/>
        <item x="5"/>
        <item x="8"/>
        <item x="10"/>
        <item x="2"/>
        <item x="9"/>
        <item x="1"/>
        <item x="0"/>
        <item x="3"/>
        <item t="default"/>
      </items>
    </pivotField>
    <pivotField showAll="0"/>
    <pivotField showAll="0"/>
    <pivotField showAll="0"/>
  </pivotFields>
  <rowFields count="1">
    <field x="3"/>
  </rowFields>
  <rowItems count="8">
    <i>
      <x/>
    </i>
    <i>
      <x v="1"/>
    </i>
    <i>
      <x v="3"/>
    </i>
    <i>
      <x v="4"/>
    </i>
    <i>
      <x v="8"/>
    </i>
    <i>
      <x v="15"/>
    </i>
    <i>
      <x v="20"/>
    </i>
    <i t="grand">
      <x/>
    </i>
  </rowItems>
  <colItems count="1">
    <i/>
  </colItems>
  <pageFields count="2">
    <pageField fld="1" hier="-1"/>
    <pageField fld="2" hier="-1"/>
  </pageFields>
  <dataFields count="1">
    <dataField name="Suma de TOTAL SEXO" fld="11" baseField="0" baseItem="0"/>
  </dataFields>
  <formats count="6">
    <format dxfId="136">
      <pivotArea type="all" dataOnly="0" outline="0" fieldPosition="0"/>
    </format>
    <format dxfId="137">
      <pivotArea outline="0" collapsedLevelsAreSubtotals="1" fieldPosition="0"/>
    </format>
    <format dxfId="138">
      <pivotArea field="18" type="button" dataOnly="0" labelOnly="1" outline="0"/>
    </format>
    <format dxfId="139">
      <pivotArea dataOnly="0" labelOnly="1" outline="0" axis="axisValues" fieldPosition="0"/>
    </format>
    <format dxfId="140">
      <pivotArea dataOnly="0" labelOnly="1" grandRow="1" outline="0" fieldPosition="0"/>
    </format>
    <format dxfId="1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6000000}" name="TablaDinámica8" cacheId="352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rowHeaderCaption="ACCIONES">
  <location ref="F13:G21" firstHeaderRow="1" firstDataRow="1" firstDataCol="1" rowPageCount="1" colPageCount="1"/>
  <pivotFields count="22">
    <pivotField showAll="0"/>
    <pivotField axis="axisPage" multipleItemSelectionAllowed="1" showAll="0">
      <items count="6">
        <item x="0"/>
        <item x="3"/>
        <item x="1"/>
        <item x="2"/>
        <item x="4"/>
        <item t="default"/>
      </items>
    </pivotField>
    <pivotField axis="axisRow" showAll="0" defaultSubtotal="0">
      <items count="7">
        <item x="5"/>
        <item x="2"/>
        <item x="1"/>
        <item x="6"/>
        <item x="0"/>
        <item x="4"/>
        <item x="3"/>
      </items>
    </pivotField>
    <pivotField showAll="0"/>
    <pivotField showAll="0"/>
    <pivotField showAll="0"/>
    <pivotField showAll="0" defaultSubtota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sortType="ascending">
      <items count="12">
        <item x="4"/>
        <item x="6"/>
        <item x="7"/>
        <item x="5"/>
        <item x="8"/>
        <item x="10"/>
        <item x="2"/>
        <item x="9"/>
        <item x="1"/>
        <item x="0"/>
        <item x="3"/>
        <item t="default"/>
      </items>
    </pivotField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" hier="-1"/>
  </pageFields>
  <dataFields count="1">
    <dataField name="Suma de TOTAL SEXO" fld="11" baseField="0" baseItem="0"/>
  </dataFields>
  <formats count="7">
    <format dxfId="129">
      <pivotArea type="all" dataOnly="0" outline="0" fieldPosition="0"/>
    </format>
    <format dxfId="130">
      <pivotArea outline="0" collapsedLevelsAreSubtotals="1" fieldPosition="0"/>
    </format>
    <format dxfId="131">
      <pivotArea field="18" type="button" dataOnly="0" labelOnly="1" outline="0"/>
    </format>
    <format dxfId="132">
      <pivotArea dataOnly="0" labelOnly="1" outline="0" axis="axisValues" fieldPosition="0"/>
    </format>
    <format dxfId="133">
      <pivotArea dataOnly="0" labelOnly="1" grandRow="1" outline="0" fieldPosition="0"/>
    </format>
    <format dxfId="134">
      <pivotArea outline="0" collapsedLevelsAreSubtotals="1" fieldPosition="0"/>
    </format>
    <format dxfId="1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7000000}" name="TablaDinámica11" cacheId="352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rowHeaderCaption="BARRIOS">
  <location ref="B253:C274" firstHeaderRow="1" firstDataRow="1" firstDataCol="1" rowPageCount="1" colPageCount="1"/>
  <pivotFields count="22">
    <pivotField showAll="0"/>
    <pivotField axis="axisPage" multipleItemSelectionAllowed="1" showAll="0">
      <items count="6">
        <item x="0"/>
        <item x="3"/>
        <item x="1"/>
        <item x="2"/>
        <item x="4"/>
        <item t="default"/>
      </items>
    </pivotField>
    <pivotField showAll="0" defaultSubtota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2">
        <item x="4"/>
        <item x="5"/>
        <item x="8"/>
        <item x="10"/>
        <item x="2"/>
        <item x="1"/>
        <item x="0"/>
        <item x="3"/>
        <item x="6"/>
        <item x="7"/>
        <item x="9"/>
        <item t="default"/>
      </items>
    </pivotField>
    <pivotField axis="axisRow" showAll="0">
      <items count="21">
        <item x="0"/>
        <item x="14"/>
        <item x="16"/>
        <item x="15"/>
        <item x="4"/>
        <item x="1"/>
        <item x="17"/>
        <item x="2"/>
        <item x="3"/>
        <item x="6"/>
        <item x="7"/>
        <item x="13"/>
        <item x="11"/>
        <item x="5"/>
        <item x="10"/>
        <item x="8"/>
        <item x="9"/>
        <item x="12"/>
        <item x="18"/>
        <item x="19"/>
        <item t="default"/>
      </items>
    </pivotField>
    <pivotField showAll="0"/>
    <pivotField showAll="0"/>
  </pivotFields>
  <rowFields count="1">
    <field x="19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pageFields count="1">
    <pageField fld="1" hier="-1"/>
  </pageFields>
  <dataFields count="1">
    <dataField name="Suma de TOTAL SEXO" fld="11" baseField="0" baseItem="0"/>
  </dataFields>
  <formats count="10">
    <format dxfId="119">
      <pivotArea type="all" dataOnly="0" outline="0" fieldPosition="0"/>
    </format>
    <format dxfId="120">
      <pivotArea outline="0" collapsedLevelsAreSubtotals="1" fieldPosition="0"/>
    </format>
    <format dxfId="121">
      <pivotArea field="18" type="button" dataOnly="0" labelOnly="1" outline="0"/>
    </format>
    <format dxfId="122">
      <pivotArea dataOnly="0" labelOnly="1" outline="0" axis="axisValues" fieldPosition="0"/>
    </format>
    <format dxfId="123">
      <pivotArea dataOnly="0" labelOnly="1" grandRow="1" outline="0" fieldPosition="0"/>
    </format>
    <format dxfId="124">
      <pivotArea outline="0" collapsedLevelsAreSubtotals="1" fieldPosition="0"/>
    </format>
    <format dxfId="125">
      <pivotArea dataOnly="0" labelOnly="1" outline="0" axis="axisValues" fieldPosition="0"/>
    </format>
    <format dxfId="126">
      <pivotArea dataOnly="0" labelOnly="1" outline="0" axis="axisValues" fieldPosition="0"/>
    </format>
    <format dxfId="127">
      <pivotArea field="18" type="button" dataOnly="0" labelOnly="1" outline="0"/>
    </format>
    <format dxfId="12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TablaDinámica5" cacheId="352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rowHeaderCaption="EMPRESAS">
  <location ref="B82:C96" firstHeaderRow="1" firstDataRow="1" firstDataCol="1" rowPageCount="2" colPageCount="1"/>
  <pivotFields count="22">
    <pivotField showAll="0"/>
    <pivotField axis="axisPage" multipleItemSelectionAllowed="1" showAll="0">
      <items count="6">
        <item x="0"/>
        <item x="3"/>
        <item x="1"/>
        <item x="2"/>
        <item x="4"/>
        <item t="default"/>
      </items>
    </pivotField>
    <pivotField axis="axisPage" multipleItemSelectionAllowed="1" showAll="0" defaultSubtotal="0">
      <items count="7">
        <item x="2"/>
        <item h="1" x="1"/>
        <item h="1" x="6"/>
        <item h="1" x="0"/>
        <item h="1" x="4"/>
        <item h="1" x="3"/>
        <item h="1" x="5"/>
      </items>
    </pivotField>
    <pivotField showAll="0"/>
    <pivotField showAll="0"/>
    <pivotField showAll="0"/>
    <pivotField showAll="0" defaultSubtotal="0"/>
    <pivotField axis="axisRow" showAll="0">
      <items count="30">
        <item x="12"/>
        <item x="16"/>
        <item x="20"/>
        <item x="14"/>
        <item x="0"/>
        <item x="27"/>
        <item x="3"/>
        <item x="5"/>
        <item x="24"/>
        <item x="4"/>
        <item x="11"/>
        <item x="23"/>
        <item x="15"/>
        <item x="1"/>
        <item x="17"/>
        <item x="10"/>
        <item x="2"/>
        <item x="6"/>
        <item x="7"/>
        <item x="8"/>
        <item x="9"/>
        <item x="13"/>
        <item x="18"/>
        <item x="19"/>
        <item x="21"/>
        <item x="28"/>
        <item x="22"/>
        <item x="25"/>
        <item x="2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sortType="ascending">
      <items count="12">
        <item x="4"/>
        <item x="6"/>
        <item x="7"/>
        <item x="5"/>
        <item x="8"/>
        <item x="10"/>
        <item x="2"/>
        <item x="9"/>
        <item x="1"/>
        <item x="0"/>
        <item x="3"/>
        <item t="default"/>
      </items>
    </pivotField>
    <pivotField showAll="0"/>
    <pivotField showAll="0"/>
    <pivotField showAll="0"/>
  </pivotFields>
  <rowFields count="1">
    <field x="7"/>
  </rowFields>
  <rowItems count="14">
    <i>
      <x v="1"/>
    </i>
    <i>
      <x v="2"/>
    </i>
    <i>
      <x v="4"/>
    </i>
    <i>
      <x v="6"/>
    </i>
    <i>
      <x v="10"/>
    </i>
    <i>
      <x v="16"/>
    </i>
    <i>
      <x v="17"/>
    </i>
    <i>
      <x v="18"/>
    </i>
    <i>
      <x v="20"/>
    </i>
    <i>
      <x v="24"/>
    </i>
    <i>
      <x v="26"/>
    </i>
    <i>
      <x v="27"/>
    </i>
    <i>
      <x v="28"/>
    </i>
    <i t="grand">
      <x/>
    </i>
  </rowItems>
  <colItems count="1">
    <i/>
  </colItems>
  <pageFields count="2">
    <pageField fld="1" hier="-1"/>
    <pageField fld="2" hier="-1"/>
  </pageFields>
  <dataFields count="1">
    <dataField name="Suma de TOTAL SEXO" fld="11" baseField="0" baseItem="0"/>
  </dataFields>
  <formats count="6">
    <format dxfId="113">
      <pivotArea type="all" dataOnly="0" outline="0" fieldPosition="0"/>
    </format>
    <format dxfId="114">
      <pivotArea outline="0" collapsedLevelsAreSubtotals="1" fieldPosition="0"/>
    </format>
    <format dxfId="115">
      <pivotArea field="18" type="button" dataOnly="0" labelOnly="1" outline="0"/>
    </format>
    <format dxfId="116">
      <pivotArea dataOnly="0" labelOnly="1" outline="0" axis="axisValues" fieldPosition="0"/>
    </format>
    <format dxfId="117">
      <pivotArea dataOnly="0" labelOnly="1" grandRow="1" outline="0" fieldPosition="0"/>
    </format>
    <format dxfId="1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B000000}" name="TablaDinámica9" cacheId="352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rowHeaderCaption="PATRULLA DE TRÁNSITO">
  <location ref="B184:C202" firstHeaderRow="1" firstDataRow="1" firstDataCol="1" rowPageCount="1" colPageCount="1"/>
  <pivotFields count="22">
    <pivotField showAll="0"/>
    <pivotField axis="axisPage" multipleItemSelectionAllowed="1" showAll="0">
      <items count="6">
        <item x="0"/>
        <item x="3"/>
        <item x="1"/>
        <item x="2"/>
        <item x="4"/>
        <item t="default"/>
      </items>
    </pivotField>
    <pivotField showAll="0" defaultSubtotal="0"/>
    <pivotField showAll="0"/>
    <pivotField axis="axisRow" showAll="0">
      <items count="19">
        <item x="7"/>
        <item x="5"/>
        <item x="4"/>
        <item x="2"/>
        <item x="8"/>
        <item x="16"/>
        <item m="1" x="17"/>
        <item x="3"/>
        <item x="13"/>
        <item x="11"/>
        <item x="0"/>
        <item x="1"/>
        <item x="6"/>
        <item x="9"/>
        <item x="10"/>
        <item x="12"/>
        <item x="14"/>
        <item x="15"/>
        <item t="default"/>
      </items>
    </pivotField>
    <pivotField showAll="0"/>
    <pivotField showAll="0" defaultSubtota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sortType="ascending">
      <items count="12">
        <item x="4"/>
        <item x="6"/>
        <item x="7"/>
        <item x="5"/>
        <item x="8"/>
        <item x="10"/>
        <item x="2"/>
        <item x="9"/>
        <item x="1"/>
        <item x="0"/>
        <item x="3"/>
        <item t="default"/>
      </items>
    </pivotField>
    <pivotField showAll="0"/>
    <pivotField showAll="0"/>
    <pivotField showAll="0"/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ageFields count="1">
    <pageField fld="1" hier="-1"/>
  </pageFields>
  <dataFields count="1">
    <dataField name="Suma de TOTAL SEXO" fld="11" baseField="0" baseItem="0"/>
  </dataFields>
  <formats count="6">
    <format dxfId="107">
      <pivotArea type="all" dataOnly="0" outline="0" fieldPosition="0"/>
    </format>
    <format dxfId="108">
      <pivotArea outline="0" collapsedLevelsAreSubtotals="1" fieldPosition="0"/>
    </format>
    <format dxfId="109">
      <pivotArea field="18" type="button" dataOnly="0" labelOnly="1" outline="0"/>
    </format>
    <format dxfId="110">
      <pivotArea dataOnly="0" labelOnly="1" outline="0" axis="axisValues" fieldPosition="0"/>
    </format>
    <format dxfId="111">
      <pivotArea dataOnly="0" labelOnly="1" grandRow="1" outline="0" fieldPosition="0"/>
    </format>
    <format dxfId="1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5000000}" name="TablaDinámica4" cacheId="352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rowHeaderCaption="ACCIONES DE EDUCACIÓN VIAL" colHeaderCaption="ZONAS">
  <location ref="B32:N34" firstHeaderRow="1" firstDataRow="2" firstDataCol="1" rowPageCount="1" colPageCount="1"/>
  <pivotFields count="22">
    <pivotField showAll="0"/>
    <pivotField axis="axisPage" multipleItemSelectionAllowed="1" showAll="0">
      <items count="6">
        <item x="0"/>
        <item x="3"/>
        <item x="1"/>
        <item x="2"/>
        <item x="4"/>
        <item t="default"/>
      </items>
    </pivotField>
    <pivotField showAll="0" defaultSubtota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 sortType="ascending">
      <items count="12">
        <item x="4"/>
        <item x="6"/>
        <item x="7"/>
        <item x="5"/>
        <item x="8"/>
        <item x="10"/>
        <item x="2"/>
        <item x="9"/>
        <item x="1"/>
        <item x="0"/>
        <item x="3"/>
        <item t="default"/>
      </items>
    </pivotField>
    <pivotField showAll="0"/>
    <pivotField showAll="0"/>
    <pivotField showAll="0"/>
  </pivotFields>
  <rowItems count="1">
    <i/>
  </rowItems>
  <colFields count="1">
    <field x="1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pageFields count="1">
    <pageField fld="1" hier="-1"/>
  </pageFields>
  <dataFields count="1">
    <dataField name="Suma de TOTAL SEXO" fld="11" baseField="0" baseItem="0"/>
  </dataFields>
  <formats count="9">
    <format dxfId="98">
      <pivotArea type="all" dataOnly="0" outline="0" fieldPosition="0"/>
    </format>
    <format dxfId="99">
      <pivotArea outline="0" collapsedLevelsAreSubtotals="1" fieldPosition="0"/>
    </format>
    <format dxfId="100">
      <pivotArea field="18" type="button" dataOnly="0" labelOnly="1" outline="0" axis="axisCol" fieldPosition="0"/>
    </format>
    <format dxfId="101">
      <pivotArea dataOnly="0" labelOnly="1" outline="0" axis="axisValues" fieldPosition="0"/>
    </format>
    <format dxfId="102">
      <pivotArea dataOnly="0" labelOnly="1" grandRow="1" outline="0" fieldPosition="0"/>
    </format>
    <format dxfId="103">
      <pivotArea outline="0" collapsedLevelsAreSubtotals="1" fieldPosition="0"/>
    </format>
    <format dxfId="104">
      <pivotArea outline="0" collapsedLevelsAreSubtotals="1" fieldPosition="0"/>
    </format>
    <format dxfId="105">
      <pivotArea dataOnly="0" labelOnly="1" fieldPosition="0">
        <references count="1">
          <reference field="18" count="6">
            <x v="0"/>
            <x v="2"/>
            <x v="3"/>
            <x v="8"/>
            <x v="9"/>
            <x v="10"/>
          </reference>
        </references>
      </pivotArea>
    </format>
    <format dxfId="10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8000000}" name="TablaDinámica1" cacheId="352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rowHeaderCaption="EXPERIENCIAS CIUDADANAS">
  <location ref="B131:C140" firstHeaderRow="1" firstDataRow="1" firstDataCol="1" rowPageCount="2" colPageCount="1"/>
  <pivotFields count="22">
    <pivotField showAll="0"/>
    <pivotField axis="axisPage" multipleItemSelectionAllowed="1" showAll="0">
      <items count="6">
        <item x="0"/>
        <item x="3"/>
        <item x="1"/>
        <item x="2"/>
        <item x="4"/>
        <item t="default"/>
      </items>
    </pivotField>
    <pivotField axis="axisPage" multipleItemSelectionAllowed="1" showAll="0" defaultSubtotal="0">
      <items count="7">
        <item h="1" x="2"/>
        <item h="1" x="1"/>
        <item h="1" x="6"/>
        <item x="0"/>
        <item h="1" x="4"/>
        <item h="1" x="3"/>
        <item h="1" x="5"/>
      </items>
    </pivotField>
    <pivotField showAll="0"/>
    <pivotField axis="axisRow" showAll="0">
      <items count="19">
        <item x="7"/>
        <item x="5"/>
        <item x="6"/>
        <item x="0"/>
        <item x="4"/>
        <item x="2"/>
        <item x="8"/>
        <item x="16"/>
        <item m="1" x="17"/>
        <item x="3"/>
        <item x="13"/>
        <item x="11"/>
        <item x="1"/>
        <item x="9"/>
        <item x="10"/>
        <item x="12"/>
        <item x="14"/>
        <item x="15"/>
        <item t="default"/>
      </items>
    </pivotField>
    <pivotField showAll="0"/>
    <pivotField showAll="0" defaultSubtota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sortType="ascending">
      <items count="12">
        <item x="4"/>
        <item x="6"/>
        <item x="7"/>
        <item x="5"/>
        <item x="8"/>
        <item x="10"/>
        <item x="2"/>
        <item x="9"/>
        <item x="1"/>
        <item x="0"/>
        <item x="3"/>
        <item t="default"/>
      </items>
    </pivotField>
    <pivotField showAll="0"/>
    <pivotField showAll="0"/>
    <pivotField showAll="0"/>
  </pivotFields>
  <rowFields count="1">
    <field x="4"/>
  </rowFields>
  <rowItems count="9">
    <i>
      <x v="1"/>
    </i>
    <i>
      <x v="2"/>
    </i>
    <i>
      <x v="3"/>
    </i>
    <i>
      <x v="5"/>
    </i>
    <i>
      <x v="6"/>
    </i>
    <i>
      <x v="12"/>
    </i>
    <i>
      <x v="13"/>
    </i>
    <i>
      <x v="17"/>
    </i>
    <i t="grand">
      <x/>
    </i>
  </rowItems>
  <colItems count="1">
    <i/>
  </colItems>
  <pageFields count="2">
    <pageField fld="1" hier="-1"/>
    <pageField fld="2" hier="-1"/>
  </pageFields>
  <dataFields count="1">
    <dataField name="Suma de TOTAL SEXO" fld="11" baseField="0" baseItem="0"/>
  </dataFields>
  <formats count="8">
    <format dxfId="90">
      <pivotArea type="all" dataOnly="0" outline="0" fieldPosition="0"/>
    </format>
    <format dxfId="91">
      <pivotArea outline="0" collapsedLevelsAreSubtotals="1" fieldPosition="0"/>
    </format>
    <format dxfId="92">
      <pivotArea field="18" type="button" dataOnly="0" labelOnly="1" outline="0"/>
    </format>
    <format dxfId="93">
      <pivotArea dataOnly="0" labelOnly="1" outline="0" axis="axisValues" fieldPosition="0"/>
    </format>
    <format dxfId="94">
      <pivotArea dataOnly="0" labelOnly="1" grandRow="1" outline="0" fieldPosition="0"/>
    </format>
    <format dxfId="95">
      <pivotArea outline="0" collapsedLevelsAreSubtotals="1" fieldPosition="0"/>
    </format>
    <format dxfId="96">
      <pivotArea collapsedLevelsAreSubtotals="1" fieldPosition="0">
        <references count="1">
          <reference field="4" count="1">
            <x v="1"/>
          </reference>
        </references>
      </pivotArea>
    </format>
    <format dxfId="97">
      <pivotArea dataOnly="0" labelOnly="1" fieldPosition="0">
        <references count="1">
          <reference field="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laDinámica7" cacheId="352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rowHeaderCaption="INSTITUCIONES EDUCATIVAS">
  <location ref="B47:C63" firstHeaderRow="1" firstDataRow="1" firstDataCol="1" rowPageCount="2" colPageCount="1"/>
  <pivotFields count="22">
    <pivotField showAll="0"/>
    <pivotField axis="axisPage" multipleItemSelectionAllowed="1" showAll="0">
      <items count="6">
        <item x="0"/>
        <item x="3"/>
        <item x="1"/>
        <item x="2"/>
        <item x="4"/>
        <item t="default"/>
      </items>
    </pivotField>
    <pivotField axis="axisPage" multipleItemSelectionAllowed="1" showAll="0" defaultSubtotal="0">
      <items count="7">
        <item h="1" x="2"/>
        <item x="1"/>
        <item h="1" x="6"/>
        <item h="1" x="0"/>
        <item h="1" x="4"/>
        <item h="1" x="3"/>
        <item h="1" x="5"/>
      </items>
    </pivotField>
    <pivotField showAll="0"/>
    <pivotField showAll="0"/>
    <pivotField showAll="0"/>
    <pivotField showAll="0" defaultSubtotal="0"/>
    <pivotField axis="axisRow" showAll="0">
      <items count="30">
        <item x="12"/>
        <item x="16"/>
        <item x="20"/>
        <item x="14"/>
        <item x="0"/>
        <item x="27"/>
        <item x="3"/>
        <item x="5"/>
        <item x="24"/>
        <item x="4"/>
        <item x="11"/>
        <item x="23"/>
        <item x="15"/>
        <item x="1"/>
        <item x="17"/>
        <item x="10"/>
        <item x="2"/>
        <item x="6"/>
        <item x="7"/>
        <item x="8"/>
        <item x="9"/>
        <item x="13"/>
        <item x="18"/>
        <item x="19"/>
        <item x="21"/>
        <item x="28"/>
        <item x="22"/>
        <item x="25"/>
        <item x="2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sortType="ascending">
      <items count="12">
        <item x="4"/>
        <item x="6"/>
        <item x="7"/>
        <item x="5"/>
        <item x="8"/>
        <item x="10"/>
        <item x="2"/>
        <item x="9"/>
        <item x="1"/>
        <item x="0"/>
        <item x="3"/>
        <item t="default"/>
      </items>
    </pivotField>
    <pivotField showAll="0"/>
    <pivotField showAll="0"/>
    <pivotField showAll="0"/>
  </pivotFields>
  <rowFields count="1">
    <field x="7"/>
  </rowFields>
  <rowItems count="16">
    <i>
      <x v="3"/>
    </i>
    <i>
      <x v="4"/>
    </i>
    <i>
      <x v="5"/>
    </i>
    <i>
      <x v="7"/>
    </i>
    <i>
      <x v="8"/>
    </i>
    <i>
      <x v="9"/>
    </i>
    <i>
      <x v="11"/>
    </i>
    <i>
      <x v="12"/>
    </i>
    <i>
      <x v="13"/>
    </i>
    <i>
      <x v="14"/>
    </i>
    <i>
      <x v="19"/>
    </i>
    <i>
      <x v="21"/>
    </i>
    <i>
      <x v="22"/>
    </i>
    <i>
      <x v="23"/>
    </i>
    <i>
      <x v="25"/>
    </i>
    <i t="grand">
      <x/>
    </i>
  </rowItems>
  <colItems count="1">
    <i/>
  </colItems>
  <pageFields count="2">
    <pageField fld="1" hier="-1"/>
    <pageField fld="2" hier="-1"/>
  </pageFields>
  <dataFields count="1">
    <dataField name="Suma de TOTAL SEXO" fld="11" baseField="0" baseItem="0"/>
  </dataFields>
  <formats count="6">
    <format dxfId="84">
      <pivotArea type="all" dataOnly="0" outline="0" fieldPosition="0"/>
    </format>
    <format dxfId="85">
      <pivotArea outline="0" collapsedLevelsAreSubtotals="1" fieldPosition="0"/>
    </format>
    <format dxfId="86">
      <pivotArea field="18" type="button" dataOnly="0" labelOnly="1" outline="0"/>
    </format>
    <format dxfId="87">
      <pivotArea dataOnly="0" labelOnly="1" outline="0" axis="axisValues" fieldPosition="0"/>
    </format>
    <format dxfId="88">
      <pivotArea dataOnly="0" labelOnly="1" grandRow="1" outline="0" fieldPosition="0"/>
    </format>
    <format dxfId="8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9000000}" name="TablaDinámica2" cacheId="352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rowHeaderCaption="PÚBLICOS">
  <location ref="E45:F53" firstHeaderRow="1" firstDataRow="1" firstDataCol="1" rowPageCount="2" colPageCount="1"/>
  <pivotFields count="22">
    <pivotField showAll="0"/>
    <pivotField axis="axisPage" multipleItemSelectionAllowed="1" showAll="0">
      <items count="6">
        <item x="0"/>
        <item x="3"/>
        <item x="1"/>
        <item x="2"/>
        <item x="4"/>
        <item t="default"/>
      </items>
    </pivotField>
    <pivotField axis="axisPage" multipleItemSelectionAllowed="1" showAll="0" defaultSubtotal="0">
      <items count="7">
        <item h="1" x="2"/>
        <item x="1"/>
        <item h="1" x="6"/>
        <item h="1" x="0"/>
        <item h="1" x="4"/>
        <item h="1" x="3"/>
        <item h="1" x="5"/>
      </items>
    </pivotField>
    <pivotField axis="axisRow" showAll="0">
      <items count="22">
        <item x="20"/>
        <item x="3"/>
        <item x="5"/>
        <item x="0"/>
        <item x="2"/>
        <item x="16"/>
        <item x="12"/>
        <item x="9"/>
        <item x="13"/>
        <item x="7"/>
        <item x="10"/>
        <item x="19"/>
        <item x="6"/>
        <item x="18"/>
        <item x="4"/>
        <item x="11"/>
        <item x="8"/>
        <item x="1"/>
        <item x="14"/>
        <item x="15"/>
        <item x="17"/>
        <item t="default"/>
      </items>
    </pivotField>
    <pivotField showAll="0"/>
    <pivotField showAll="0"/>
    <pivotField showAll="0" defaultSubtota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sortType="ascending">
      <items count="12">
        <item x="4"/>
        <item x="6"/>
        <item x="7"/>
        <item x="5"/>
        <item x="8"/>
        <item x="10"/>
        <item x="2"/>
        <item x="9"/>
        <item x="1"/>
        <item x="0"/>
        <item x="3"/>
        <item t="default"/>
      </items>
    </pivotField>
    <pivotField showAll="0"/>
    <pivotField showAll="0"/>
    <pivotField showAll="0"/>
  </pivotFields>
  <rowFields count="1">
    <field x="3"/>
  </rowFields>
  <rowItems count="8">
    <i>
      <x v="4"/>
    </i>
    <i>
      <x v="5"/>
    </i>
    <i>
      <x v="6"/>
    </i>
    <i>
      <x v="7"/>
    </i>
    <i>
      <x v="14"/>
    </i>
    <i>
      <x v="17"/>
    </i>
    <i>
      <x v="18"/>
    </i>
    <i t="grand">
      <x/>
    </i>
  </rowItems>
  <colItems count="1">
    <i/>
  </colItems>
  <pageFields count="2">
    <pageField fld="1" hier="-1"/>
    <pageField fld="2" hier="-1"/>
  </pageFields>
  <dataFields count="1">
    <dataField name="Suma de TOTAL SEXO" fld="11" baseField="0" baseItem="0"/>
  </dataFields>
  <formats count="15">
    <format dxfId="69">
      <pivotArea type="all" dataOnly="0" outline="0" fieldPosition="0"/>
    </format>
    <format dxfId="70">
      <pivotArea outline="0" collapsedLevelsAreSubtotals="1" fieldPosition="0"/>
    </format>
    <format dxfId="71">
      <pivotArea field="18" type="button" dataOnly="0" labelOnly="1" outline="0"/>
    </format>
    <format dxfId="72">
      <pivotArea dataOnly="0" labelOnly="1" outline="0" axis="axisValues" fieldPosition="0"/>
    </format>
    <format dxfId="73">
      <pivotArea dataOnly="0" labelOnly="1" grandRow="1" outline="0" fieldPosition="0"/>
    </format>
    <format dxfId="74">
      <pivotArea outline="0" collapsedLevelsAreSubtotals="1" fieldPosition="0"/>
    </format>
    <format dxfId="75">
      <pivotArea collapsedLevelsAreSubtotals="1" fieldPosition="0">
        <references count="1">
          <reference field="3" count="1">
            <x v="5"/>
          </reference>
        </references>
      </pivotArea>
    </format>
    <format dxfId="76">
      <pivotArea dataOnly="0" labelOnly="1" fieldPosition="0">
        <references count="1">
          <reference field="3" count="1">
            <x v="5"/>
          </reference>
        </references>
      </pivotArea>
    </format>
    <format dxfId="77">
      <pivotArea dataOnly="0" labelOnly="1" fieldPosition="0">
        <references count="1">
          <reference field="3" count="1">
            <x v="6"/>
          </reference>
        </references>
      </pivotArea>
    </format>
    <format dxfId="78">
      <pivotArea collapsedLevelsAreSubtotals="1" fieldPosition="0">
        <references count="1">
          <reference field="3" count="1">
            <x v="6"/>
          </reference>
        </references>
      </pivotArea>
    </format>
    <format dxfId="79">
      <pivotArea dataOnly="0" labelOnly="1" fieldPosition="0">
        <references count="1">
          <reference field="3" count="1">
            <x v="6"/>
          </reference>
        </references>
      </pivotArea>
    </format>
    <format dxfId="80">
      <pivotArea collapsedLevelsAreSubtotals="1" fieldPosition="0">
        <references count="1">
          <reference field="3" count="1">
            <x v="4"/>
          </reference>
        </references>
      </pivotArea>
    </format>
    <format dxfId="81">
      <pivotArea collapsedLevelsAreSubtotals="1" fieldPosition="0">
        <references count="1">
          <reference field="3" count="1">
            <x v="14"/>
          </reference>
        </references>
      </pivotArea>
    </format>
    <format dxfId="82">
      <pivotArea collapsedLevelsAreSubtotals="1" fieldPosition="0">
        <references count="1">
          <reference field="3" count="1">
            <x v="4"/>
          </reference>
        </references>
      </pivotArea>
    </format>
    <format dxfId="83">
      <pivotArea collapsedLevelsAreSubtotals="1" fieldPosition="0">
        <references count="1">
          <reference field="3" count="1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A000000}" name="TablaDinámica6" cacheId="352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rowHeaderCaption="ZONAS">
  <location ref="B13:C25" firstHeaderRow="1" firstDataRow="1" firstDataCol="1" rowPageCount="1" colPageCount="1"/>
  <pivotFields count="22">
    <pivotField showAll="0"/>
    <pivotField axis="axisPage" multipleItemSelectionAllowed="1" showAll="0">
      <items count="6">
        <item x="0"/>
        <item x="3"/>
        <item x="1"/>
        <item x="2"/>
        <item x="4"/>
        <item t="default"/>
      </items>
    </pivotField>
    <pivotField showAll="0" defaultSubtota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4"/>
        <item x="5"/>
        <item x="8"/>
        <item x="10"/>
        <item x="2"/>
        <item x="1"/>
        <item x="0"/>
        <item x="3"/>
        <item x="6"/>
        <item x="7"/>
        <item x="9"/>
        <item t="default"/>
      </items>
    </pivotField>
    <pivotField showAll="0"/>
    <pivotField showAll="0"/>
    <pivotField showAll="0"/>
  </pivotFields>
  <rowFields count="1">
    <field x="1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1" hier="-1"/>
  </pageFields>
  <dataFields count="1">
    <dataField name="Suma de TOTAL SEXO" fld="11" baseField="0" baseItem="0"/>
  </dataFields>
  <formats count="11">
    <format dxfId="58">
      <pivotArea type="all" dataOnly="0" outline="0" fieldPosition="0"/>
    </format>
    <format dxfId="59">
      <pivotArea outline="0" collapsedLevelsAreSubtotals="1" fieldPosition="0"/>
    </format>
    <format dxfId="60">
      <pivotArea field="18" type="button" dataOnly="0" labelOnly="1" outline="0" axis="axisRow" fieldPosition="0"/>
    </format>
    <format dxfId="61">
      <pivotArea dataOnly="0" labelOnly="1" outline="0" axis="axisValues" fieldPosition="0"/>
    </format>
    <format dxfId="62">
      <pivotArea dataOnly="0" labelOnly="1" fieldPosition="0">
        <references count="1">
          <reference field="18" count="6">
            <x v="0"/>
            <x v="1"/>
            <x v="5"/>
            <x v="6"/>
            <x v="7"/>
            <x v="9"/>
          </reference>
        </references>
      </pivotArea>
    </format>
    <format dxfId="63">
      <pivotArea dataOnly="0" labelOnly="1" grandRow="1" outline="0" fieldPosition="0"/>
    </format>
    <format dxfId="64">
      <pivotArea outline="0" collapsedLevelsAreSubtotals="1" fieldPosition="0"/>
    </format>
    <format dxfId="65">
      <pivotArea dataOnly="0" labelOnly="1" outline="0" axis="axisValues" fieldPosition="0"/>
    </format>
    <format dxfId="66">
      <pivotArea dataOnly="0" labelOnly="1" outline="0" axis="axisValues" fieldPosition="0"/>
    </format>
    <format dxfId="67">
      <pivotArea field="18" type="button" dataOnly="0" labelOnly="1" outline="0" axis="axisRow" fieldPosition="0"/>
    </format>
    <format dxfId="6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EDUVIAL_2023" displayName="EDUVIAL_2023" ref="A1:Y307" totalsRowShown="0" headerRowDxfId="57" dataDxfId="56" headerRowBorderDxfId="54" tableBorderDxfId="55" totalsRowBorderDxfId="53" headerRowCellStyle="Énfasis5">
  <autoFilter ref="A1:Y307" xr:uid="{00000000-0009-0000-0100-000002000000}"/>
  <sortState xmlns:xlrd2="http://schemas.microsoft.com/office/spreadsheetml/2017/richdata2" ref="A218:V291">
    <sortCondition ref="C1:C300"/>
  </sortState>
  <tableColumns count="25">
    <tableColumn id="1" xr3:uid="{00000000-0010-0000-0000-000001000000}" name="FECHA DE LA ACTIVIDAD_x000a_(DÍA-MES-AÑO)" dataDxfId="52" dataCellStyle="40% - Énfasis4"/>
    <tableColumn id="2" xr3:uid="{00000000-0010-0000-0000-000002000000}" name="MES" dataDxfId="51" dataCellStyle="40% - Énfasis4"/>
    <tableColumn id="46" xr3:uid="{00000000-0010-0000-0000-00002E000000}" name="ÁREA DE EDUCACIÓN VIAL" dataDxfId="50" dataCellStyle="40% - Énfasis4"/>
    <tableColumn id="26" xr3:uid="{00000000-0010-0000-0000-00001A000000}" name="PÚBLICOS" dataDxfId="49" dataCellStyle="40% - Énfasis4"/>
    <tableColumn id="27" xr3:uid="{00000000-0010-0000-0000-00001B000000}" name="TIPO DE INTERVENCIÓN " dataDxfId="48" dataCellStyle="40% - Énfasis4"/>
    <tableColumn id="28" xr3:uid="{00000000-0010-0000-0000-00001C000000}" name="RESPONSABLE" dataDxfId="47" dataCellStyle="40% - Énfasis4"/>
    <tableColumn id="29" xr3:uid="{00000000-0010-0000-0000-00001D000000}" name="DESCRIPCIÓN DE ACTIVIDAD_x000a_(Escriba brevemente la actividad realizada)" dataDxfId="46" dataCellStyle="40% - Énfasis4"/>
    <tableColumn id="30" xr3:uid="{00000000-0010-0000-0000-00001E000000}" name="INSTITUCIÓN O EMPRESA" dataDxfId="45" dataCellStyle="40% - Énfasis4"/>
    <tableColumn id="31" xr3:uid="{00000000-0010-0000-0000-00001F000000}" name="PERSONA DE CONTACTO O BENEFICIARIO" dataDxfId="44" dataCellStyle="40% - Énfasis4"/>
    <tableColumn id="33" xr3:uid="{00000000-0010-0000-0000-000021000000}" name="HOMBRE" dataDxfId="43" dataCellStyle="40% - Énfasis4"/>
    <tableColumn id="34" xr3:uid="{00000000-0010-0000-0000-000022000000}" name="MUJER" dataDxfId="42" dataCellStyle="40% - Énfasis4"/>
    <tableColumn id="35" xr3:uid="{00000000-0010-0000-0000-000023000000}" name="TOTAL SEXO" dataDxfId="41" dataCellStyle="40% - Énfasis4">
      <calculatedColumnFormula>EDUVIAL_2023[[#This Row],[HOMBRE]]+EDUVIAL_2023[[#This Row],[MUJER]]</calculatedColumnFormula>
    </tableColumn>
    <tableColumn id="3" xr3:uid="{00000000-0010-0000-0000-000003000000}" name="PRIMERA INFANCIA_x000a_(Hasta 5 años)" dataDxfId="40" dataCellStyle="40% - Énfasis4"/>
    <tableColumn id="36" xr3:uid="{00000000-0010-0000-0000-000024000000}" name="INFANCIA_x000a_(6 a 11 años)" dataDxfId="39" dataCellStyle="40% - Énfasis4"/>
    <tableColumn id="37" xr3:uid="{00000000-0010-0000-0000-000025000000}" name="ADOLESCENCIA_x000a_(12 años a 17 años)" dataDxfId="38" dataCellStyle="40% - Énfasis4"/>
    <tableColumn id="38" xr3:uid="{00000000-0010-0000-0000-000026000000}" name="ADULTOS-JÓVENES_x000a_(18 años a 28 años)" dataDxfId="37" dataCellStyle="40% - Énfasis4"/>
    <tableColumn id="4" xr3:uid="{00000000-0010-0000-0000-000004000000}" name="ADULTOS_x000a_(29 años a 60 años)" dataDxfId="36" dataCellStyle="40% - Énfasis4"/>
    <tableColumn id="39" xr3:uid="{00000000-0010-0000-0000-000027000000}" name="PERSONAS MAYORES_x000a_( Mayores de 60 años)" dataDxfId="35" dataCellStyle="40% - Énfasis4"/>
    <tableColumn id="40" xr3:uid="{00000000-0010-0000-0000-000028000000}" name="TOTAL RANGOS" dataDxfId="34" dataCellStyle="40% - Énfasis4">
      <calculatedColumnFormula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calculatedColumnFormula>
    </tableColumn>
    <tableColumn id="41" xr3:uid="{00000000-0010-0000-0000-000029000000}" name="TOTAL GENERAL_x000a_(no modificar)" dataDxfId="33" dataCellStyle="40% - Énfasis4">
      <calculatedColumnFormula>EDUVIAL_2023[[#This Row],[TOTAL SEXO]]</calculatedColumnFormula>
    </tableColumn>
    <tableColumn id="42" xr3:uid="{00000000-0010-0000-0000-00002A000000}" name="ZONA" dataDxfId="32" dataCellStyle="40% - Énfasis4"/>
    <tableColumn id="43" xr3:uid="{00000000-0010-0000-0000-00002B000000}" name="BARRIO" dataDxfId="31" dataCellStyle="40% - Énfasis4"/>
    <tableColumn id="44" xr3:uid="{00000000-0010-0000-0000-00002C000000}" name="GEOREFERENCIACIÓN" dataDxfId="30" dataCellStyle="40% - Énfasis4"/>
    <tableColumn id="45" xr3:uid="{00000000-0010-0000-0000-00002D000000}" name="TOTAL GENERAL_x000a_(no modificar)2" dataDxfId="29" dataCellStyle="40% - Énfasis4">
      <calculatedColumnFormula>EXACT(EDUVIAL_2023[[#This Row],[TOTAL SEXO]],EDUVIAL_2023[[#This Row],[TOTAL RANGOS]])</calculatedColumnFormula>
    </tableColumn>
    <tableColumn id="5" xr3:uid="{00000000-0010-0000-0000-000005000000}" name="TOTAL GENERAL_x000a_(no modificar)3" dataDxfId="28" dataCellStyle="40% - Énfasis4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AREAS_INTERVENCION" displayName="AREAS_INTERVENCION" ref="B1:B11" totalsRowShown="0" headerRowDxfId="27" dataDxfId="26" tableBorderDxfId="25">
  <tableColumns count="1">
    <tableColumn id="1" xr3:uid="{00000000-0010-0000-0100-000001000000}" name="ÁREAS DE EDUCACIÓN VIAL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NOMBRE_INSTITUCIONES" displayName="NOMBRE_INSTITUCIONES" ref="J1:J89" totalsRowShown="0" headerRowDxfId="23" dataDxfId="22" headerRowBorderDxfId="20" tableBorderDxfId="21" totalsRowBorderDxfId="19">
  <autoFilter ref="J1:J89" xr:uid="{00000000-0009-0000-0100-000004000000}"/>
  <tableColumns count="1">
    <tableColumn id="1" xr3:uid="{00000000-0010-0000-0200-000001000000}" name="NOMBRE IE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GEOREFERENCIACION" displayName="GEOREFERENCIACION" ref="K1:K83" totalsRowShown="0" headerRowDxfId="17" headerRowBorderDxfId="15" tableBorderDxfId="16" totalsRowBorderDxfId="14">
  <tableColumns count="1">
    <tableColumn id="1" xr3:uid="{00000000-0010-0000-0300-000001000000}" name="GEOREFERENCIACIÓN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MES" displayName="MES" ref="A1:A13" totalsRowShown="0" headerRowDxfId="12" dataDxfId="11" headerRowBorderDxfId="9" tableBorderDxfId="10" totalsRowBorderDxfId="8">
  <tableColumns count="1">
    <tableColumn id="1" xr3:uid="{00000000-0010-0000-0400-000001000000}" name="MES" dataDxfId="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PÚBLICOS" displayName="PÚBLICOS" ref="C1:C38" totalsRowShown="0" headerRowDxfId="6" tableBorderDxfId="5">
  <autoFilter ref="C1:C38" xr:uid="{00000000-0009-0000-0100-000007000000}"/>
  <sortState xmlns:xlrd2="http://schemas.microsoft.com/office/spreadsheetml/2017/richdata2" ref="C2:C39">
    <sortCondition ref="C1:C39"/>
  </sortState>
  <tableColumns count="1">
    <tableColumn id="1" xr3:uid="{00000000-0010-0000-0500-000001000000}" name="PÚBLICO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IPO_INTERVENCIÓN" displayName="TIPO_INTERVENCIÓN" ref="D1:D37" totalsRowShown="0" headerRowDxfId="4" dataDxfId="3" headerRowBorderDxfId="1" tableBorderDxfId="2">
  <autoFilter ref="D1:D37" xr:uid="{00000000-0009-0000-0100-000008000000}"/>
  <sortState xmlns:xlrd2="http://schemas.microsoft.com/office/spreadsheetml/2017/richdata2" ref="D2:D37">
    <sortCondition ref="D1:D37"/>
  </sortState>
  <tableColumns count="1">
    <tableColumn id="1" xr3:uid="{00000000-0010-0000-0600-000001000000}" name="TIPO DE INTERVEN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drawing" Target="../drawings/drawing2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3"/>
  <sheetViews>
    <sheetView showGridLines="0" tabSelected="1" topLeftCell="K1" zoomScale="85" zoomScaleNormal="85" workbookViewId="0">
      <pane ySplit="1" topLeftCell="A298" activePane="bottomLeft" state="frozen"/>
      <selection pane="bottomLeft" activeCell="V307" sqref="V307"/>
    </sheetView>
  </sheetViews>
  <sheetFormatPr defaultColWidth="11.42578125" defaultRowHeight="14.45"/>
  <cols>
    <col min="1" max="1" width="21.85546875" style="13" customWidth="1"/>
    <col min="2" max="2" width="9.42578125" style="13" bestFit="1" customWidth="1"/>
    <col min="3" max="3" width="50" style="24" customWidth="1"/>
    <col min="4" max="4" width="45.85546875" style="1" customWidth="1"/>
    <col min="5" max="5" width="44.5703125" style="14" customWidth="1"/>
    <col min="6" max="6" width="24" style="1" customWidth="1"/>
    <col min="7" max="7" width="66.42578125" style="14" customWidth="1"/>
    <col min="8" max="8" width="42.140625" style="14" customWidth="1"/>
    <col min="9" max="9" width="36.7109375" style="24" customWidth="1"/>
    <col min="10" max="10" width="10.42578125" style="1" customWidth="1"/>
    <col min="11" max="11" width="10" style="1" customWidth="1"/>
    <col min="12" max="12" width="24.85546875" style="13" customWidth="1"/>
    <col min="13" max="13" width="23" style="96" bestFit="1" customWidth="1"/>
    <col min="14" max="14" width="16.42578125" style="13" bestFit="1" customWidth="1"/>
    <col min="15" max="16" width="22.140625" style="13" bestFit="1" customWidth="1"/>
    <col min="17" max="17" width="17.85546875" style="13" bestFit="1" customWidth="1"/>
    <col min="18" max="18" width="24.42578125" style="13" bestFit="1" customWidth="1"/>
    <col min="19" max="19" width="19.140625" style="1" customWidth="1"/>
    <col min="20" max="20" width="19.140625" style="13" customWidth="1"/>
    <col min="21" max="21" width="22.28515625" style="13" customWidth="1"/>
    <col min="22" max="22" width="16.42578125" style="13" customWidth="1"/>
    <col min="23" max="23" width="46.42578125" style="1" customWidth="1"/>
    <col min="24" max="24" width="23.140625" style="1" customWidth="1"/>
    <col min="25" max="16384" width="11.42578125" style="1"/>
  </cols>
  <sheetData>
    <row r="1" spans="1:25" ht="28.9">
      <c r="A1" s="97" t="s">
        <v>0</v>
      </c>
      <c r="B1" s="97" t="s">
        <v>1</v>
      </c>
      <c r="C1" s="20" t="s">
        <v>2</v>
      </c>
      <c r="D1" s="20" t="s">
        <v>3</v>
      </c>
      <c r="E1" s="21" t="s">
        <v>4</v>
      </c>
      <c r="F1" s="20" t="s">
        <v>5</v>
      </c>
      <c r="G1" s="21" t="s">
        <v>6</v>
      </c>
      <c r="H1" s="22" t="s">
        <v>7</v>
      </c>
      <c r="I1" s="20" t="s">
        <v>8</v>
      </c>
      <c r="J1" s="124" t="s">
        <v>9</v>
      </c>
      <c r="K1" s="124" t="s">
        <v>10</v>
      </c>
      <c r="L1" s="98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99" t="s">
        <v>18</v>
      </c>
      <c r="T1" s="100" t="s">
        <v>19</v>
      </c>
      <c r="U1" s="20" t="s">
        <v>20</v>
      </c>
      <c r="V1" s="20" t="s">
        <v>21</v>
      </c>
      <c r="W1" s="124" t="s">
        <v>22</v>
      </c>
      <c r="X1" s="101" t="s">
        <v>23</v>
      </c>
      <c r="Y1" s="20" t="s">
        <v>24</v>
      </c>
    </row>
    <row r="2" spans="1:25" ht="28.9">
      <c r="A2" s="102">
        <v>45672</v>
      </c>
      <c r="B2" s="103" t="s">
        <v>25</v>
      </c>
      <c r="C2" s="104" t="s">
        <v>26</v>
      </c>
      <c r="D2" s="104" t="s">
        <v>27</v>
      </c>
      <c r="E2" s="121" t="s">
        <v>28</v>
      </c>
      <c r="F2" s="104" t="s">
        <v>29</v>
      </c>
      <c r="G2" s="23" t="s">
        <v>30</v>
      </c>
      <c r="H2" s="23" t="s">
        <v>31</v>
      </c>
      <c r="I2" s="105" t="s">
        <v>32</v>
      </c>
      <c r="J2" s="125">
        <v>4</v>
      </c>
      <c r="K2" s="165">
        <v>2</v>
      </c>
      <c r="L2" s="107">
        <f>EDUVIAL_2023[[#This Row],[HOMBRE]]+EDUVIAL_2023[[#This Row],[MUJER]]</f>
        <v>6</v>
      </c>
      <c r="M2" s="108">
        <v>0</v>
      </c>
      <c r="N2" s="108">
        <v>0</v>
      </c>
      <c r="O2" s="106">
        <v>0</v>
      </c>
      <c r="P2" s="106">
        <v>0</v>
      </c>
      <c r="Q2" s="106">
        <v>4</v>
      </c>
      <c r="R2" s="106">
        <v>2</v>
      </c>
      <c r="S2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6</v>
      </c>
      <c r="T2" s="110">
        <f>EDUVIAL_2023[[#This Row],[TOTAL SEXO]]</f>
        <v>6</v>
      </c>
      <c r="U2" s="79" t="s">
        <v>33</v>
      </c>
      <c r="V2" s="79" t="s">
        <v>34</v>
      </c>
      <c r="W2" s="95" t="s">
        <v>35</v>
      </c>
      <c r="X2" s="111" t="b">
        <f>EXACT(EDUVIAL_2023[[#This Row],[TOTAL SEXO]],EDUVIAL_2023[[#This Row],[TOTAL RANGOS]])</f>
        <v>1</v>
      </c>
      <c r="Y2" s="123"/>
    </row>
    <row r="3" spans="1:25" ht="28.9">
      <c r="A3" s="102">
        <v>45678</v>
      </c>
      <c r="B3" s="103" t="s">
        <v>25</v>
      </c>
      <c r="C3" s="104" t="s">
        <v>26</v>
      </c>
      <c r="D3" s="104" t="s">
        <v>27</v>
      </c>
      <c r="E3" s="121" t="s">
        <v>28</v>
      </c>
      <c r="F3" s="104" t="s">
        <v>29</v>
      </c>
      <c r="G3" s="23" t="s">
        <v>30</v>
      </c>
      <c r="H3" s="23" t="s">
        <v>31</v>
      </c>
      <c r="I3" s="105" t="s">
        <v>32</v>
      </c>
      <c r="J3" s="125">
        <v>43</v>
      </c>
      <c r="K3" s="165">
        <v>11</v>
      </c>
      <c r="L3" s="107">
        <f>EDUVIAL_2023[[#This Row],[HOMBRE]]+EDUVIAL_2023[[#This Row],[MUJER]]</f>
        <v>54</v>
      </c>
      <c r="M3" s="108">
        <v>0</v>
      </c>
      <c r="N3" s="108">
        <v>0</v>
      </c>
      <c r="O3" s="106">
        <v>4</v>
      </c>
      <c r="P3" s="106">
        <v>10</v>
      </c>
      <c r="Q3" s="106">
        <v>34</v>
      </c>
      <c r="R3" s="106">
        <v>6</v>
      </c>
      <c r="S3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54</v>
      </c>
      <c r="T3" s="110">
        <f>EDUVIAL_2023[[#This Row],[TOTAL SEXO]]</f>
        <v>54</v>
      </c>
      <c r="U3" s="79" t="s">
        <v>33</v>
      </c>
      <c r="V3" s="79" t="s">
        <v>34</v>
      </c>
      <c r="W3" s="95" t="s">
        <v>35</v>
      </c>
      <c r="X3" s="111" t="b">
        <f>EXACT(EDUVIAL_2023[[#This Row],[TOTAL SEXO]],EDUVIAL_2023[[#This Row],[TOTAL RANGOS]])</f>
        <v>1</v>
      </c>
      <c r="Y3" s="106"/>
    </row>
    <row r="4" spans="1:25" ht="28.9">
      <c r="A4" s="102">
        <v>45679</v>
      </c>
      <c r="B4" s="103" t="s">
        <v>25</v>
      </c>
      <c r="C4" s="104" t="s">
        <v>36</v>
      </c>
      <c r="D4" s="104" t="s">
        <v>37</v>
      </c>
      <c r="E4" s="121" t="s">
        <v>38</v>
      </c>
      <c r="F4" s="104" t="s">
        <v>29</v>
      </c>
      <c r="G4" s="23" t="s">
        <v>39</v>
      </c>
      <c r="H4" s="23" t="s">
        <v>40</v>
      </c>
      <c r="I4" s="105" t="s">
        <v>41</v>
      </c>
      <c r="J4" s="125">
        <v>1</v>
      </c>
      <c r="K4" s="165">
        <v>0</v>
      </c>
      <c r="L4" s="112">
        <f>EDUVIAL_2023[[#This Row],[HOMBRE]]+EDUVIAL_2023[[#This Row],[MUJER]]</f>
        <v>1</v>
      </c>
      <c r="M4" s="113">
        <v>0</v>
      </c>
      <c r="N4" s="106">
        <v>0</v>
      </c>
      <c r="O4" s="106">
        <v>0</v>
      </c>
      <c r="P4" s="106">
        <v>0</v>
      </c>
      <c r="Q4" s="106">
        <v>1</v>
      </c>
      <c r="R4" s="106">
        <v>0</v>
      </c>
      <c r="S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4" s="118">
        <f>EDUVIAL_2023[[#This Row],[TOTAL SEXO]]</f>
        <v>1</v>
      </c>
      <c r="U4" s="79" t="s">
        <v>33</v>
      </c>
      <c r="V4" s="79" t="s">
        <v>34</v>
      </c>
      <c r="W4" s="95" t="s">
        <v>42</v>
      </c>
      <c r="X4" s="111" t="b">
        <f>EXACT(EDUVIAL_2023[[#This Row],[TOTAL SEXO]],EDUVIAL_2023[[#This Row],[TOTAL RANGOS]])</f>
        <v>1</v>
      </c>
      <c r="Y4" s="106"/>
    </row>
    <row r="5" spans="1:25" ht="28.9">
      <c r="A5" s="102">
        <v>45680</v>
      </c>
      <c r="B5" s="103" t="s">
        <v>25</v>
      </c>
      <c r="C5" s="104" t="s">
        <v>26</v>
      </c>
      <c r="D5" s="104" t="s">
        <v>27</v>
      </c>
      <c r="E5" s="121" t="s">
        <v>28</v>
      </c>
      <c r="F5" s="104" t="s">
        <v>29</v>
      </c>
      <c r="G5" s="23" t="s">
        <v>30</v>
      </c>
      <c r="H5" s="23" t="s">
        <v>31</v>
      </c>
      <c r="I5" s="105" t="s">
        <v>32</v>
      </c>
      <c r="J5" s="125">
        <v>21</v>
      </c>
      <c r="K5" s="165">
        <v>9</v>
      </c>
      <c r="L5" s="107">
        <f>EDUVIAL_2023[[#This Row],[HOMBRE]]+EDUVIAL_2023[[#This Row],[MUJER]]</f>
        <v>30</v>
      </c>
      <c r="M5" s="108">
        <v>0</v>
      </c>
      <c r="N5" s="108">
        <v>0</v>
      </c>
      <c r="O5" s="106">
        <v>1</v>
      </c>
      <c r="P5" s="106">
        <v>10</v>
      </c>
      <c r="Q5" s="106">
        <v>19</v>
      </c>
      <c r="R5" s="106">
        <v>0</v>
      </c>
      <c r="S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30</v>
      </c>
      <c r="T5" s="110">
        <f>EDUVIAL_2023[[#This Row],[TOTAL SEXO]]</f>
        <v>30</v>
      </c>
      <c r="U5" s="79" t="s">
        <v>33</v>
      </c>
      <c r="V5" s="79" t="s">
        <v>34</v>
      </c>
      <c r="W5" s="95" t="s">
        <v>35</v>
      </c>
      <c r="X5" s="111" t="b">
        <f>EXACT(EDUVIAL_2023[[#This Row],[TOTAL SEXO]],EDUVIAL_2023[[#This Row],[TOTAL RANGOS]])</f>
        <v>1</v>
      </c>
      <c r="Y5" s="106"/>
    </row>
    <row r="6" spans="1:25" ht="28.9">
      <c r="A6" s="102">
        <v>45684</v>
      </c>
      <c r="B6" s="103" t="s">
        <v>25</v>
      </c>
      <c r="C6" s="74" t="s">
        <v>36</v>
      </c>
      <c r="D6" s="6" t="s">
        <v>37</v>
      </c>
      <c r="E6" s="121" t="s">
        <v>38</v>
      </c>
      <c r="F6" s="105" t="s">
        <v>43</v>
      </c>
      <c r="G6" s="23" t="s">
        <v>39</v>
      </c>
      <c r="H6" s="23" t="s">
        <v>40</v>
      </c>
      <c r="I6" s="105" t="s">
        <v>44</v>
      </c>
      <c r="J6" s="125">
        <v>1</v>
      </c>
      <c r="K6" s="165">
        <v>0</v>
      </c>
      <c r="L6" s="107">
        <f>EDUVIAL_2023[[#This Row],[HOMBRE]]+EDUVIAL_2023[[#This Row],[MUJER]]</f>
        <v>1</v>
      </c>
      <c r="M6" s="108">
        <v>0</v>
      </c>
      <c r="N6" s="108">
        <v>0</v>
      </c>
      <c r="O6" s="106">
        <v>0</v>
      </c>
      <c r="P6" s="106">
        <v>0</v>
      </c>
      <c r="Q6" s="106">
        <v>1</v>
      </c>
      <c r="R6" s="106">
        <v>0</v>
      </c>
      <c r="S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6" s="110">
        <f>EDUVIAL_2023[[#This Row],[TOTAL SEXO]]</f>
        <v>1</v>
      </c>
      <c r="U6" s="79" t="s">
        <v>33</v>
      </c>
      <c r="V6" s="79" t="s">
        <v>34</v>
      </c>
      <c r="W6" s="95" t="s">
        <v>35</v>
      </c>
      <c r="X6" s="111" t="b">
        <f>EXACT(EDUVIAL_2023[[#This Row],[TOTAL SEXO]],EDUVIAL_2023[[#This Row],[TOTAL RANGOS]])</f>
        <v>1</v>
      </c>
      <c r="Y6" s="106"/>
    </row>
    <row r="7" spans="1:25" ht="28.9">
      <c r="A7" s="102">
        <v>45688</v>
      </c>
      <c r="B7" s="103" t="s">
        <v>25</v>
      </c>
      <c r="C7" s="74" t="s">
        <v>36</v>
      </c>
      <c r="D7" s="6" t="s">
        <v>37</v>
      </c>
      <c r="E7" s="121" t="s">
        <v>38</v>
      </c>
      <c r="F7" s="105" t="s">
        <v>43</v>
      </c>
      <c r="G7" s="23" t="s">
        <v>39</v>
      </c>
      <c r="H7" s="23" t="s">
        <v>40</v>
      </c>
      <c r="I7" s="105" t="s">
        <v>45</v>
      </c>
      <c r="J7" s="125">
        <v>1</v>
      </c>
      <c r="K7" s="165">
        <v>0</v>
      </c>
      <c r="L7" s="107">
        <f>EDUVIAL_2023[[#This Row],[HOMBRE]]+EDUVIAL_2023[[#This Row],[MUJER]]</f>
        <v>1</v>
      </c>
      <c r="M7" s="108">
        <v>0</v>
      </c>
      <c r="N7" s="108">
        <v>0</v>
      </c>
      <c r="O7" s="106">
        <v>0</v>
      </c>
      <c r="P7" s="106">
        <v>0</v>
      </c>
      <c r="Q7" s="106">
        <v>0</v>
      </c>
      <c r="R7" s="106">
        <v>1</v>
      </c>
      <c r="S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7" s="110">
        <f>EDUVIAL_2023[[#This Row],[TOTAL SEXO]]</f>
        <v>1</v>
      </c>
      <c r="U7" s="79" t="s">
        <v>33</v>
      </c>
      <c r="V7" s="79" t="s">
        <v>34</v>
      </c>
      <c r="W7" s="95" t="s">
        <v>35</v>
      </c>
      <c r="X7" s="111" t="b">
        <f>EXACT(EDUVIAL_2023[[#This Row],[TOTAL SEXO]],EDUVIAL_2023[[#This Row],[TOTAL RANGOS]])</f>
        <v>1</v>
      </c>
      <c r="Y7" s="106"/>
    </row>
    <row r="8" spans="1:25" ht="28.9">
      <c r="A8" s="102">
        <v>45698</v>
      </c>
      <c r="B8" s="103" t="s">
        <v>46</v>
      </c>
      <c r="C8" s="74" t="s">
        <v>36</v>
      </c>
      <c r="D8" s="6" t="s">
        <v>37</v>
      </c>
      <c r="E8" s="121" t="s">
        <v>38</v>
      </c>
      <c r="F8" s="105" t="s">
        <v>43</v>
      </c>
      <c r="G8" s="23" t="s">
        <v>39</v>
      </c>
      <c r="H8" s="23" t="s">
        <v>40</v>
      </c>
      <c r="I8" s="105" t="s">
        <v>47</v>
      </c>
      <c r="J8" s="125">
        <v>1</v>
      </c>
      <c r="K8" s="165">
        <v>0</v>
      </c>
      <c r="L8" s="107">
        <f>EDUVIAL_2023[[#This Row],[HOMBRE]]+EDUVIAL_2023[[#This Row],[MUJER]]</f>
        <v>1</v>
      </c>
      <c r="M8" s="108">
        <v>0</v>
      </c>
      <c r="N8" s="108">
        <v>0</v>
      </c>
      <c r="O8" s="106">
        <v>0</v>
      </c>
      <c r="P8" s="106">
        <v>0</v>
      </c>
      <c r="Q8" s="106">
        <v>1</v>
      </c>
      <c r="R8" s="106">
        <v>0</v>
      </c>
      <c r="S8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8" s="110">
        <f>EDUVIAL_2023[[#This Row],[TOTAL SEXO]]</f>
        <v>1</v>
      </c>
      <c r="U8" s="79" t="s">
        <v>33</v>
      </c>
      <c r="V8" s="79" t="s">
        <v>34</v>
      </c>
      <c r="W8" s="95" t="s">
        <v>35</v>
      </c>
      <c r="X8" s="111" t="b">
        <f>EXACT(EDUVIAL_2023[[#This Row],[TOTAL SEXO]],EDUVIAL_2023[[#This Row],[TOTAL RANGOS]])</f>
        <v>1</v>
      </c>
      <c r="Y8" s="106"/>
    </row>
    <row r="9" spans="1:25" ht="28.9">
      <c r="A9" s="102">
        <v>45698</v>
      </c>
      <c r="B9" s="103" t="s">
        <v>46</v>
      </c>
      <c r="C9" s="74" t="s">
        <v>36</v>
      </c>
      <c r="D9" s="6" t="s">
        <v>37</v>
      </c>
      <c r="E9" s="121" t="s">
        <v>38</v>
      </c>
      <c r="F9" s="105" t="s">
        <v>43</v>
      </c>
      <c r="G9" s="23" t="s">
        <v>39</v>
      </c>
      <c r="H9" s="23" t="s">
        <v>40</v>
      </c>
      <c r="I9" s="105" t="s">
        <v>48</v>
      </c>
      <c r="J9" s="125">
        <v>1</v>
      </c>
      <c r="K9" s="165">
        <v>0</v>
      </c>
      <c r="L9" s="107">
        <f>EDUVIAL_2023[[#This Row],[HOMBRE]]+EDUVIAL_2023[[#This Row],[MUJER]]</f>
        <v>1</v>
      </c>
      <c r="M9" s="108">
        <v>0</v>
      </c>
      <c r="N9" s="108">
        <v>0</v>
      </c>
      <c r="O9" s="106">
        <v>0</v>
      </c>
      <c r="P9" s="106">
        <v>0</v>
      </c>
      <c r="Q9" s="106">
        <v>1</v>
      </c>
      <c r="R9" s="106">
        <v>0</v>
      </c>
      <c r="S9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9" s="110">
        <f>EDUVIAL_2023[[#This Row],[TOTAL SEXO]]</f>
        <v>1</v>
      </c>
      <c r="U9" s="79" t="s">
        <v>33</v>
      </c>
      <c r="V9" s="79" t="s">
        <v>34</v>
      </c>
      <c r="W9" s="95" t="s">
        <v>35</v>
      </c>
      <c r="X9" s="111" t="b">
        <f>EXACT(EDUVIAL_2023[[#This Row],[TOTAL SEXO]],EDUVIAL_2023[[#This Row],[TOTAL RANGOS]])</f>
        <v>1</v>
      </c>
      <c r="Y9" s="106"/>
    </row>
    <row r="10" spans="1:25" ht="43.15">
      <c r="A10" s="102">
        <v>45698</v>
      </c>
      <c r="B10" s="103" t="s">
        <v>46</v>
      </c>
      <c r="C10" s="74" t="s">
        <v>49</v>
      </c>
      <c r="D10" s="6" t="s">
        <v>50</v>
      </c>
      <c r="E10" s="7" t="s">
        <v>51</v>
      </c>
      <c r="F10" s="105" t="s">
        <v>43</v>
      </c>
      <c r="G10" s="23" t="s">
        <v>52</v>
      </c>
      <c r="H10" s="23" t="s">
        <v>53</v>
      </c>
      <c r="I10" s="105" t="s">
        <v>54</v>
      </c>
      <c r="J10" s="125">
        <v>20</v>
      </c>
      <c r="K10" s="125">
        <v>4</v>
      </c>
      <c r="L10" s="112">
        <f>EDUVIAL_2023[[#This Row],[HOMBRE]]+EDUVIAL_2023[[#This Row],[MUJER]]</f>
        <v>24</v>
      </c>
      <c r="M10" s="249">
        <v>0</v>
      </c>
      <c r="N10" s="106">
        <v>0</v>
      </c>
      <c r="O10" s="106">
        <v>0</v>
      </c>
      <c r="P10" s="106">
        <v>0</v>
      </c>
      <c r="Q10" s="106">
        <v>24</v>
      </c>
      <c r="R10" s="106">
        <v>0</v>
      </c>
      <c r="S10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24</v>
      </c>
      <c r="T10" s="118">
        <f>EDUVIAL_2023[[#This Row],[TOTAL SEXO]]</f>
        <v>24</v>
      </c>
      <c r="U10" s="119" t="s">
        <v>55</v>
      </c>
      <c r="V10" s="119" t="s">
        <v>56</v>
      </c>
      <c r="W10" s="125" t="s">
        <v>57</v>
      </c>
      <c r="X10" s="111" t="b">
        <f>EXACT(EDUVIAL_2023[[#This Row],[TOTAL SEXO]],EDUVIAL_2023[[#This Row],[TOTAL RANGOS]])</f>
        <v>1</v>
      </c>
      <c r="Y10" s="106"/>
    </row>
    <row r="11" spans="1:25" ht="43.15">
      <c r="A11" s="102">
        <v>45699</v>
      </c>
      <c r="B11" s="103" t="s">
        <v>46</v>
      </c>
      <c r="C11" s="74" t="s">
        <v>49</v>
      </c>
      <c r="D11" s="6" t="s">
        <v>50</v>
      </c>
      <c r="E11" s="7" t="s">
        <v>51</v>
      </c>
      <c r="F11" s="105" t="s">
        <v>43</v>
      </c>
      <c r="G11" s="23" t="s">
        <v>58</v>
      </c>
      <c r="H11" s="23" t="s">
        <v>59</v>
      </c>
      <c r="I11" s="105" t="s">
        <v>60</v>
      </c>
      <c r="J11" s="125">
        <v>1</v>
      </c>
      <c r="K11" s="125">
        <v>0</v>
      </c>
      <c r="L11" s="112">
        <f>EDUVIAL_2023[[#This Row],[HOMBRE]]+EDUVIAL_2023[[#This Row],[MUJER]]</f>
        <v>1</v>
      </c>
      <c r="M11" s="249">
        <v>0</v>
      </c>
      <c r="N11" s="106">
        <v>0</v>
      </c>
      <c r="O11" s="106">
        <v>0</v>
      </c>
      <c r="P11" s="106">
        <v>0</v>
      </c>
      <c r="Q11" s="106">
        <v>1</v>
      </c>
      <c r="R11" s="106">
        <v>0</v>
      </c>
      <c r="S11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11" s="118">
        <f>EDUVIAL_2023[[#This Row],[TOTAL SEXO]]</f>
        <v>1</v>
      </c>
      <c r="U11" s="119" t="s">
        <v>33</v>
      </c>
      <c r="V11" s="119" t="s">
        <v>34</v>
      </c>
      <c r="W11" s="95" t="s">
        <v>35</v>
      </c>
      <c r="X11" s="111" t="b">
        <f>EXACT(EDUVIAL_2023[[#This Row],[TOTAL SEXO]],EDUVIAL_2023[[#This Row],[TOTAL RANGOS]])</f>
        <v>1</v>
      </c>
      <c r="Y11" s="106"/>
    </row>
    <row r="12" spans="1:25" ht="28.9">
      <c r="A12" s="102">
        <v>45700</v>
      </c>
      <c r="B12" s="103" t="s">
        <v>46</v>
      </c>
      <c r="C12" s="74" t="s">
        <v>36</v>
      </c>
      <c r="D12" s="6" t="s">
        <v>50</v>
      </c>
      <c r="E12" s="7" t="s">
        <v>61</v>
      </c>
      <c r="F12" s="105" t="s">
        <v>43</v>
      </c>
      <c r="G12" s="23" t="s">
        <v>62</v>
      </c>
      <c r="H12" s="23" t="s">
        <v>40</v>
      </c>
      <c r="I12" s="105" t="s">
        <v>63</v>
      </c>
      <c r="J12" s="125">
        <v>2</v>
      </c>
      <c r="K12" s="165">
        <v>0</v>
      </c>
      <c r="L12" s="107">
        <f>EDUVIAL_2023[[#This Row],[HOMBRE]]+EDUVIAL_2023[[#This Row],[MUJER]]</f>
        <v>2</v>
      </c>
      <c r="M12" s="108">
        <v>0</v>
      </c>
      <c r="N12" s="108">
        <v>0</v>
      </c>
      <c r="O12" s="106">
        <v>0</v>
      </c>
      <c r="P12" s="106">
        <v>0</v>
      </c>
      <c r="Q12" s="106">
        <v>2</v>
      </c>
      <c r="R12" s="106">
        <v>0</v>
      </c>
      <c r="S12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</v>
      </c>
      <c r="T12" s="110">
        <f>EDUVIAL_2023[[#This Row],[TOTAL SEXO]]</f>
        <v>2</v>
      </c>
      <c r="U12" s="79" t="s">
        <v>64</v>
      </c>
      <c r="V12" s="79" t="s">
        <v>65</v>
      </c>
      <c r="W12" s="126" t="s">
        <v>66</v>
      </c>
      <c r="X12" s="111" t="b">
        <f>EXACT(EDUVIAL_2023[[#This Row],[TOTAL SEXO]],EDUVIAL_2023[[#This Row],[TOTAL RANGOS]])</f>
        <v>1</v>
      </c>
      <c r="Y12" s="106"/>
    </row>
    <row r="13" spans="1:25" ht="28.9">
      <c r="A13" s="102">
        <v>45700</v>
      </c>
      <c r="B13" s="103" t="s">
        <v>46</v>
      </c>
      <c r="C13" s="74" t="s">
        <v>67</v>
      </c>
      <c r="D13" s="6" t="s">
        <v>68</v>
      </c>
      <c r="E13" s="177" t="s">
        <v>69</v>
      </c>
      <c r="F13" s="105" t="s">
        <v>43</v>
      </c>
      <c r="G13" s="23" t="s">
        <v>70</v>
      </c>
      <c r="H13" s="181" t="s">
        <v>71</v>
      </c>
      <c r="I13" s="105" t="s">
        <v>72</v>
      </c>
      <c r="J13" s="125">
        <v>0</v>
      </c>
      <c r="K13" s="165">
        <v>1</v>
      </c>
      <c r="L13" s="107">
        <f>EDUVIAL_2023[[#This Row],[HOMBRE]]+EDUVIAL_2023[[#This Row],[MUJER]]</f>
        <v>1</v>
      </c>
      <c r="M13" s="108">
        <v>0</v>
      </c>
      <c r="N13" s="108">
        <v>0</v>
      </c>
      <c r="O13" s="106">
        <v>0</v>
      </c>
      <c r="P13" s="106">
        <v>0</v>
      </c>
      <c r="Q13" s="106">
        <v>1</v>
      </c>
      <c r="R13" s="106">
        <v>0</v>
      </c>
      <c r="S13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13" s="110">
        <f>EDUVIAL_2023[[#This Row],[TOTAL SEXO]]</f>
        <v>1</v>
      </c>
      <c r="U13" s="79" t="s">
        <v>73</v>
      </c>
      <c r="V13" s="79" t="s">
        <v>74</v>
      </c>
      <c r="W13" s="126" t="str">
        <f>VLOOKUP(EDUVIAL_2023[[#This Row],[INSTITUCIÓN O EMPRESA]],LISTAS!$J$1:$M$81,2,0)</f>
        <v>6.167664, -75.586311</v>
      </c>
      <c r="X13" s="111" t="b">
        <f>EXACT(EDUVIAL_2023[[#This Row],[TOTAL SEXO]],EDUVIAL_2023[[#This Row],[TOTAL RANGOS]])</f>
        <v>1</v>
      </c>
      <c r="Y13" s="106"/>
    </row>
    <row r="14" spans="1:25" ht="28.9">
      <c r="A14" s="102">
        <v>45701</v>
      </c>
      <c r="B14" s="103" t="s">
        <v>46</v>
      </c>
      <c r="C14" s="74" t="s">
        <v>67</v>
      </c>
      <c r="D14" s="6" t="s">
        <v>68</v>
      </c>
      <c r="E14" s="177" t="s">
        <v>69</v>
      </c>
      <c r="F14" s="105" t="s">
        <v>43</v>
      </c>
      <c r="G14" s="23" t="s">
        <v>70</v>
      </c>
      <c r="H14" s="181" t="s">
        <v>75</v>
      </c>
      <c r="I14" s="105" t="s">
        <v>76</v>
      </c>
      <c r="J14" s="125">
        <v>1</v>
      </c>
      <c r="K14" s="165">
        <v>0</v>
      </c>
      <c r="L14" s="107">
        <f>EDUVIAL_2023[[#This Row],[HOMBRE]]+EDUVIAL_2023[[#This Row],[MUJER]]</f>
        <v>1</v>
      </c>
      <c r="M14" s="108">
        <v>0</v>
      </c>
      <c r="N14" s="108">
        <v>0</v>
      </c>
      <c r="O14" s="106">
        <v>0</v>
      </c>
      <c r="P14" s="106">
        <v>0</v>
      </c>
      <c r="Q14" s="106">
        <v>1</v>
      </c>
      <c r="R14" s="106">
        <v>0</v>
      </c>
      <c r="S1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14" s="110">
        <f>EDUVIAL_2023[[#This Row],[TOTAL SEXO]]</f>
        <v>1</v>
      </c>
      <c r="U14" s="79" t="str">
        <f>VLOOKUP(EDUVIAL_2023[[#This Row],[INSTITUCIÓN O EMPRESA]],LISTAS!$J$1:$M$81,3,0)</f>
        <v>Zona 7</v>
      </c>
      <c r="V14" s="79" t="str">
        <f>VLOOKUP(EDUVIAL_2023[[#This Row],[INSTITUCIÓN O EMPRESA]],LISTAS!$J$1:$M$81,4,0)</f>
        <v>La Paz</v>
      </c>
      <c r="W14" s="126" t="str">
        <f>VLOOKUP(EDUVIAL_2023[[#This Row],[INSTITUCIÓN O EMPRESA]],LISTAS!$J$1:$M$81,2,0)</f>
        <v>6.162272, -75.594035</v>
      </c>
      <c r="X14" s="111" t="b">
        <f>EXACT(EDUVIAL_2023[[#This Row],[TOTAL SEXO]],EDUVIAL_2023[[#This Row],[TOTAL RANGOS]])</f>
        <v>1</v>
      </c>
      <c r="Y14" s="106"/>
    </row>
    <row r="15" spans="1:25" ht="28.9">
      <c r="A15" s="102">
        <v>45701</v>
      </c>
      <c r="B15" s="102" t="s">
        <v>46</v>
      </c>
      <c r="C15" s="74" t="s">
        <v>49</v>
      </c>
      <c r="D15" s="104" t="s">
        <v>77</v>
      </c>
      <c r="E15" s="121" t="s">
        <v>78</v>
      </c>
      <c r="F15" s="104" t="s">
        <v>79</v>
      </c>
      <c r="G15" s="121" t="s">
        <v>80</v>
      </c>
      <c r="H15" s="23" t="s">
        <v>40</v>
      </c>
      <c r="I15" s="104" t="s">
        <v>81</v>
      </c>
      <c r="J15" s="125">
        <v>1</v>
      </c>
      <c r="K15" s="125">
        <v>0</v>
      </c>
      <c r="L15" s="112">
        <f>EDUVIAL_2023[[#This Row],[HOMBRE]]+EDUVIAL_2023[[#This Row],[MUJER]]</f>
        <v>1</v>
      </c>
      <c r="M15" s="249">
        <v>0</v>
      </c>
      <c r="N15" s="106">
        <v>0</v>
      </c>
      <c r="O15" s="106">
        <v>0</v>
      </c>
      <c r="P15" s="106">
        <v>0</v>
      </c>
      <c r="Q15" s="106">
        <v>1</v>
      </c>
      <c r="R15" s="106">
        <v>0</v>
      </c>
      <c r="S1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15" s="120">
        <f>EDUVIAL_2023[[#This Row],[TOTAL SEXO]]</f>
        <v>1</v>
      </c>
      <c r="U15" s="79" t="s">
        <v>33</v>
      </c>
      <c r="V15" s="119" t="s">
        <v>34</v>
      </c>
      <c r="W15" s="95" t="s">
        <v>35</v>
      </c>
      <c r="X15" s="114" t="b">
        <f>EXACT(EDUVIAL_2023[[#This Row],[TOTAL SEXO]],EDUVIAL_2023[[#This Row],[TOTAL RANGOS]])</f>
        <v>1</v>
      </c>
      <c r="Y15" s="106"/>
    </row>
    <row r="16" spans="1:25" ht="28.9">
      <c r="A16" s="102">
        <v>45701</v>
      </c>
      <c r="B16" s="102" t="s">
        <v>46</v>
      </c>
      <c r="C16" s="74" t="s">
        <v>49</v>
      </c>
      <c r="D16" s="104" t="s">
        <v>77</v>
      </c>
      <c r="E16" s="121" t="s">
        <v>78</v>
      </c>
      <c r="F16" s="104" t="s">
        <v>79</v>
      </c>
      <c r="G16" s="121" t="s">
        <v>80</v>
      </c>
      <c r="H16" s="23" t="s">
        <v>40</v>
      </c>
      <c r="I16" s="104" t="s">
        <v>82</v>
      </c>
      <c r="J16" s="125">
        <v>0</v>
      </c>
      <c r="K16" s="125">
        <v>1</v>
      </c>
      <c r="L16" s="112">
        <f>EDUVIAL_2023[[#This Row],[HOMBRE]]+EDUVIAL_2023[[#This Row],[MUJER]]</f>
        <v>1</v>
      </c>
      <c r="M16" s="249">
        <v>0</v>
      </c>
      <c r="N16" s="106">
        <v>0</v>
      </c>
      <c r="O16" s="106">
        <v>0</v>
      </c>
      <c r="P16" s="106">
        <v>0</v>
      </c>
      <c r="Q16" s="106">
        <v>1</v>
      </c>
      <c r="R16" s="106">
        <v>0</v>
      </c>
      <c r="S1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16" s="120">
        <f>EDUVIAL_2023[[#This Row],[TOTAL SEXO]]</f>
        <v>1</v>
      </c>
      <c r="U16" s="79" t="s">
        <v>33</v>
      </c>
      <c r="V16" s="119" t="s">
        <v>34</v>
      </c>
      <c r="W16" s="95" t="s">
        <v>35</v>
      </c>
      <c r="X16" s="114" t="b">
        <f>EXACT(EDUVIAL_2023[[#This Row],[TOTAL SEXO]],EDUVIAL_2023[[#This Row],[TOTAL RANGOS]])</f>
        <v>1</v>
      </c>
      <c r="Y16" s="106"/>
    </row>
    <row r="17" spans="1:25" ht="43.15">
      <c r="A17" s="102">
        <v>45705</v>
      </c>
      <c r="B17" s="103" t="s">
        <v>46</v>
      </c>
      <c r="C17" s="74" t="s">
        <v>67</v>
      </c>
      <c r="D17" s="6" t="s">
        <v>68</v>
      </c>
      <c r="E17" s="7" t="s">
        <v>51</v>
      </c>
      <c r="F17" s="105" t="s">
        <v>43</v>
      </c>
      <c r="G17" s="23" t="s">
        <v>83</v>
      </c>
      <c r="H17" s="181" t="s">
        <v>84</v>
      </c>
      <c r="I17" s="105" t="s">
        <v>85</v>
      </c>
      <c r="J17" s="125">
        <v>1</v>
      </c>
      <c r="K17" s="165">
        <v>10</v>
      </c>
      <c r="L17" s="107">
        <f>EDUVIAL_2023[[#This Row],[HOMBRE]]+EDUVIAL_2023[[#This Row],[MUJER]]</f>
        <v>11</v>
      </c>
      <c r="M17" s="108">
        <v>0</v>
      </c>
      <c r="N17" s="108">
        <v>0</v>
      </c>
      <c r="O17" s="106">
        <v>0</v>
      </c>
      <c r="P17" s="106">
        <v>0</v>
      </c>
      <c r="Q17" s="106">
        <v>9</v>
      </c>
      <c r="R17" s="106">
        <v>2</v>
      </c>
      <c r="S1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11</v>
      </c>
      <c r="T17" s="110">
        <f>EDUVIAL_2023[[#This Row],[TOTAL SEXO]]</f>
        <v>11</v>
      </c>
      <c r="U17" s="79" t="str">
        <f>VLOOKUP(EDUVIAL_2023[[#This Row],[INSTITUCIÓN O EMPRESA]],LISTAS!$J$1:$M$81,3,0)</f>
        <v>Zona 9</v>
      </c>
      <c r="V17" s="79" t="str">
        <f>VLOOKUP(EDUVIAL_2023[[#This Row],[INSTITUCIÓN O EMPRESA]],LISTAS!$J$1:$M$81,4,0)</f>
        <v>Barrio Mesa</v>
      </c>
      <c r="W17" s="126" t="str">
        <f>VLOOKUP(EDUVIAL_2023[[#This Row],[INSTITUCIÓN O EMPRESA]],LISTAS!$J$1:$M$81,2,0)</f>
        <v>6.165319, -75.581362</v>
      </c>
      <c r="X17" s="111" t="b">
        <f>EXACT(EDUVIAL_2023[[#This Row],[TOTAL SEXO]],EDUVIAL_2023[[#This Row],[TOTAL RANGOS]])</f>
        <v>1</v>
      </c>
      <c r="Y17" s="106"/>
    </row>
    <row r="18" spans="1:25" ht="43.15">
      <c r="A18" s="102">
        <v>45706</v>
      </c>
      <c r="B18" s="103" t="s">
        <v>46</v>
      </c>
      <c r="C18" s="74" t="s">
        <v>67</v>
      </c>
      <c r="D18" s="6" t="s">
        <v>86</v>
      </c>
      <c r="E18" s="7" t="s">
        <v>51</v>
      </c>
      <c r="F18" s="105" t="s">
        <v>43</v>
      </c>
      <c r="G18" s="23" t="s">
        <v>70</v>
      </c>
      <c r="H18" s="181" t="s">
        <v>87</v>
      </c>
      <c r="I18" s="105" t="s">
        <v>88</v>
      </c>
      <c r="J18" s="125">
        <v>2</v>
      </c>
      <c r="K18" s="165">
        <v>4</v>
      </c>
      <c r="L18" s="107">
        <f>EDUVIAL_2023[[#This Row],[HOMBRE]]+EDUVIAL_2023[[#This Row],[MUJER]]</f>
        <v>6</v>
      </c>
      <c r="M18" s="108">
        <v>0</v>
      </c>
      <c r="N18" s="108">
        <v>0</v>
      </c>
      <c r="O18" s="106">
        <v>0</v>
      </c>
      <c r="P18" s="106">
        <v>0</v>
      </c>
      <c r="Q18" s="106">
        <v>6</v>
      </c>
      <c r="R18" s="106">
        <v>0</v>
      </c>
      <c r="S18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6</v>
      </c>
      <c r="T18" s="110">
        <f>EDUVIAL_2023[[#This Row],[TOTAL SEXO]]</f>
        <v>6</v>
      </c>
      <c r="U18" s="79" t="str">
        <f>VLOOKUP(EDUVIAL_2023[[#This Row],[INSTITUCIÓN O EMPRESA]],LISTAS!$J$1:$M$81,3,0)</f>
        <v>Zona 8</v>
      </c>
      <c r="V18" s="79" t="s">
        <v>74</v>
      </c>
      <c r="W18" s="126" t="str">
        <f>VLOOKUP(EDUVIAL_2023[[#This Row],[INSTITUCIÓN O EMPRESA]],LISTAS!$J$1:$M$81,2,0)</f>
        <v>6.171594, -75.591214</v>
      </c>
      <c r="X18" s="111" t="b">
        <f>EXACT(EDUVIAL_2023[[#This Row],[TOTAL SEXO]],EDUVIAL_2023[[#This Row],[TOTAL RANGOS]])</f>
        <v>1</v>
      </c>
      <c r="Y18" s="106"/>
    </row>
    <row r="19" spans="1:25" ht="28.9">
      <c r="A19" s="102">
        <v>45706</v>
      </c>
      <c r="B19" s="103" t="s">
        <v>46</v>
      </c>
      <c r="C19" s="74" t="s">
        <v>67</v>
      </c>
      <c r="D19" s="6" t="s">
        <v>89</v>
      </c>
      <c r="E19" s="7"/>
      <c r="F19" s="105" t="s">
        <v>43</v>
      </c>
      <c r="G19" s="23" t="s">
        <v>90</v>
      </c>
      <c r="H19" s="95" t="s">
        <v>91</v>
      </c>
      <c r="I19" s="105" t="s">
        <v>92</v>
      </c>
      <c r="J19" s="125">
        <v>0</v>
      </c>
      <c r="K19" s="125">
        <v>1</v>
      </c>
      <c r="L19" s="112">
        <f>EDUVIAL_2023[[#This Row],[HOMBRE]]+EDUVIAL_2023[[#This Row],[MUJER]]</f>
        <v>1</v>
      </c>
      <c r="M19" s="249">
        <v>0</v>
      </c>
      <c r="N19" s="106">
        <v>0</v>
      </c>
      <c r="O19" s="106">
        <v>0</v>
      </c>
      <c r="P19" s="106">
        <v>0</v>
      </c>
      <c r="Q19" s="106">
        <v>1</v>
      </c>
      <c r="R19" s="106">
        <v>0</v>
      </c>
      <c r="S19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19" s="120">
        <f>EDUVIAL_2023[[#This Row],[TOTAL SEXO]]</f>
        <v>1</v>
      </c>
      <c r="U19" s="119" t="s">
        <v>73</v>
      </c>
      <c r="V19" s="79" t="s">
        <v>74</v>
      </c>
      <c r="W19" s="126" t="s">
        <v>93</v>
      </c>
      <c r="X19" s="111" t="b">
        <f>EXACT(EDUVIAL_2023[[#This Row],[TOTAL SEXO]],EDUVIAL_2023[[#This Row],[TOTAL RANGOS]])</f>
        <v>1</v>
      </c>
      <c r="Y19" s="106"/>
    </row>
    <row r="20" spans="1:25" ht="28.9">
      <c r="A20" s="102">
        <v>45707</v>
      </c>
      <c r="B20" s="103" t="s">
        <v>46</v>
      </c>
      <c r="C20" s="74" t="s">
        <v>49</v>
      </c>
      <c r="D20" s="6" t="s">
        <v>89</v>
      </c>
      <c r="E20" s="7" t="s">
        <v>94</v>
      </c>
      <c r="F20" s="105" t="s">
        <v>43</v>
      </c>
      <c r="G20" s="23" t="s">
        <v>95</v>
      </c>
      <c r="H20" s="95" t="s">
        <v>96</v>
      </c>
      <c r="I20" s="105" t="s">
        <v>97</v>
      </c>
      <c r="J20" s="125">
        <v>2</v>
      </c>
      <c r="K20" s="165">
        <v>0</v>
      </c>
      <c r="L20" s="107">
        <f>EDUVIAL_2023[[#This Row],[HOMBRE]]+EDUVIAL_2023[[#This Row],[MUJER]]</f>
        <v>2</v>
      </c>
      <c r="M20" s="108">
        <v>0</v>
      </c>
      <c r="N20" s="108">
        <v>0</v>
      </c>
      <c r="O20" s="106">
        <v>0</v>
      </c>
      <c r="P20" s="106">
        <v>0</v>
      </c>
      <c r="Q20" s="106">
        <v>2</v>
      </c>
      <c r="R20" s="106">
        <v>0</v>
      </c>
      <c r="S20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</v>
      </c>
      <c r="T20" s="110">
        <f>EDUVIAL_2023[[#This Row],[TOTAL SEXO]]</f>
        <v>2</v>
      </c>
      <c r="U20" s="79" t="s">
        <v>33</v>
      </c>
      <c r="V20" s="79" t="s">
        <v>34</v>
      </c>
      <c r="W20" s="95" t="s">
        <v>42</v>
      </c>
      <c r="X20" s="111" t="b">
        <f>EXACT(EDUVIAL_2023[[#This Row],[TOTAL SEXO]],EDUVIAL_2023[[#This Row],[TOTAL RANGOS]])</f>
        <v>1</v>
      </c>
      <c r="Y20" s="106"/>
    </row>
    <row r="21" spans="1:25" ht="43.15">
      <c r="A21" s="102">
        <v>45707</v>
      </c>
      <c r="B21" s="103" t="s">
        <v>46</v>
      </c>
      <c r="C21" s="74" t="s">
        <v>67</v>
      </c>
      <c r="D21" s="6" t="s">
        <v>68</v>
      </c>
      <c r="E21" s="7" t="s">
        <v>51</v>
      </c>
      <c r="F21" s="105" t="s">
        <v>43</v>
      </c>
      <c r="G21" s="23" t="s">
        <v>70</v>
      </c>
      <c r="H21" s="181" t="s">
        <v>98</v>
      </c>
      <c r="I21" s="105" t="s">
        <v>99</v>
      </c>
      <c r="J21" s="125">
        <v>0</v>
      </c>
      <c r="K21" s="125">
        <v>1</v>
      </c>
      <c r="L21" s="112">
        <f>EDUVIAL_2023[[#This Row],[HOMBRE]]+EDUVIAL_2023[[#This Row],[MUJER]]</f>
        <v>1</v>
      </c>
      <c r="M21" s="249">
        <v>0</v>
      </c>
      <c r="N21" s="106">
        <v>0</v>
      </c>
      <c r="O21" s="106">
        <v>0</v>
      </c>
      <c r="P21" s="106">
        <v>0</v>
      </c>
      <c r="Q21" s="106">
        <v>1</v>
      </c>
      <c r="R21" s="106">
        <v>0</v>
      </c>
      <c r="S21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21" s="120">
        <f>EDUVIAL_2023[[#This Row],[TOTAL SEXO]]</f>
        <v>1</v>
      </c>
      <c r="U21" s="119" t="s">
        <v>73</v>
      </c>
      <c r="V21" s="79" t="s">
        <v>74</v>
      </c>
      <c r="W21" s="126" t="s">
        <v>100</v>
      </c>
      <c r="X21" s="111" t="b">
        <f>EXACT(EDUVIAL_2023[[#This Row],[TOTAL SEXO]],EDUVIAL_2023[[#This Row],[TOTAL RANGOS]])</f>
        <v>1</v>
      </c>
      <c r="Y21" s="106"/>
    </row>
    <row r="22" spans="1:25" ht="43.15">
      <c r="A22" s="102">
        <v>45709</v>
      </c>
      <c r="B22" s="103" t="s">
        <v>46</v>
      </c>
      <c r="C22" s="74" t="s">
        <v>67</v>
      </c>
      <c r="D22" s="182" t="s">
        <v>101</v>
      </c>
      <c r="E22" s="7" t="s">
        <v>51</v>
      </c>
      <c r="F22" s="105" t="s">
        <v>43</v>
      </c>
      <c r="G22" s="23" t="s">
        <v>102</v>
      </c>
      <c r="H22" s="181" t="s">
        <v>84</v>
      </c>
      <c r="I22" s="105" t="s">
        <v>85</v>
      </c>
      <c r="J22" s="125">
        <v>8</v>
      </c>
      <c r="K22" s="165">
        <v>20</v>
      </c>
      <c r="L22" s="107">
        <f>EDUVIAL_2023[[#This Row],[HOMBRE]]+EDUVIAL_2023[[#This Row],[MUJER]]</f>
        <v>28</v>
      </c>
      <c r="M22" s="108">
        <v>0</v>
      </c>
      <c r="N22" s="108">
        <v>0</v>
      </c>
      <c r="O22" s="106">
        <v>0</v>
      </c>
      <c r="P22" s="106">
        <v>4</v>
      </c>
      <c r="Q22" s="106">
        <v>24</v>
      </c>
      <c r="R22" s="106">
        <v>0</v>
      </c>
      <c r="S22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28</v>
      </c>
      <c r="T22" s="110">
        <f>EDUVIAL_2023[[#This Row],[TOTAL SEXO]]</f>
        <v>28</v>
      </c>
      <c r="U22" s="79" t="str">
        <f>VLOOKUP(EDUVIAL_2023[[#This Row],[INSTITUCIÓN O EMPRESA]],LISTAS!$J$1:$M$81,3,0)</f>
        <v>Zona 9</v>
      </c>
      <c r="V22" s="79" t="str">
        <f>VLOOKUP(EDUVIAL_2023[[#This Row],[INSTITUCIÓN O EMPRESA]],LISTAS!$J$1:$M$81,4,0)</f>
        <v>Barrio Mesa</v>
      </c>
      <c r="W22" s="126" t="str">
        <f>VLOOKUP(EDUVIAL_2023[[#This Row],[INSTITUCIÓN O EMPRESA]],LISTAS!$J$1:$M$81,2,0)</f>
        <v>6.165319, -75.581362</v>
      </c>
      <c r="X22" s="111" t="b">
        <f>EXACT(EDUVIAL_2023[[#This Row],[TOTAL SEXO]],EDUVIAL_2023[[#This Row],[TOTAL RANGOS]])</f>
        <v>1</v>
      </c>
      <c r="Y22" s="106"/>
    </row>
    <row r="23" spans="1:25" ht="43.15">
      <c r="A23" s="102">
        <v>45710</v>
      </c>
      <c r="B23" s="103" t="s">
        <v>46</v>
      </c>
      <c r="C23" s="74" t="s">
        <v>49</v>
      </c>
      <c r="D23" s="6" t="s">
        <v>50</v>
      </c>
      <c r="E23" s="7" t="s">
        <v>51</v>
      </c>
      <c r="F23" s="105" t="s">
        <v>43</v>
      </c>
      <c r="G23" s="23" t="s">
        <v>103</v>
      </c>
      <c r="H23" s="95" t="s">
        <v>104</v>
      </c>
      <c r="I23" s="105" t="s">
        <v>105</v>
      </c>
      <c r="J23" s="125">
        <v>8</v>
      </c>
      <c r="K23" s="165">
        <v>12</v>
      </c>
      <c r="L23" s="107">
        <f>EDUVIAL_2023[[#This Row],[HOMBRE]]+EDUVIAL_2023[[#This Row],[MUJER]]</f>
        <v>20</v>
      </c>
      <c r="M23" s="108">
        <v>0</v>
      </c>
      <c r="N23" s="108">
        <v>0</v>
      </c>
      <c r="O23" s="106">
        <v>0</v>
      </c>
      <c r="P23" s="106">
        <v>8</v>
      </c>
      <c r="Q23" s="106">
        <v>12</v>
      </c>
      <c r="R23" s="106">
        <v>0</v>
      </c>
      <c r="S23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20</v>
      </c>
      <c r="T23" s="110">
        <f>EDUVIAL_2023[[#This Row],[TOTAL SEXO]]</f>
        <v>20</v>
      </c>
      <c r="U23" s="79" t="s">
        <v>33</v>
      </c>
      <c r="V23" s="79" t="s">
        <v>34</v>
      </c>
      <c r="W23" s="95" t="s">
        <v>42</v>
      </c>
      <c r="X23" s="111" t="b">
        <f>EXACT(EDUVIAL_2023[[#This Row],[TOTAL SEXO]],EDUVIAL_2023[[#This Row],[TOTAL RANGOS]])</f>
        <v>1</v>
      </c>
      <c r="Y23" s="106"/>
    </row>
    <row r="24" spans="1:25" ht="43.15">
      <c r="A24" s="102">
        <v>45709</v>
      </c>
      <c r="B24" s="103" t="s">
        <v>46</v>
      </c>
      <c r="C24" s="74" t="s">
        <v>106</v>
      </c>
      <c r="D24" s="104" t="s">
        <v>101</v>
      </c>
      <c r="E24" s="7" t="s">
        <v>51</v>
      </c>
      <c r="F24" s="104" t="s">
        <v>43</v>
      </c>
      <c r="G24" s="23" t="s">
        <v>107</v>
      </c>
      <c r="H24" s="23" t="s">
        <v>40</v>
      </c>
      <c r="I24" s="104" t="s">
        <v>43</v>
      </c>
      <c r="J24" s="125">
        <v>5</v>
      </c>
      <c r="K24" s="165">
        <v>25</v>
      </c>
      <c r="L24" s="107">
        <f>EDUVIAL_2023[[#This Row],[HOMBRE]]+EDUVIAL_2023[[#This Row],[MUJER]]</f>
        <v>30</v>
      </c>
      <c r="M24" s="108">
        <v>0</v>
      </c>
      <c r="N24" s="108">
        <v>0</v>
      </c>
      <c r="O24" s="106">
        <v>0</v>
      </c>
      <c r="P24" s="106">
        <v>0</v>
      </c>
      <c r="Q24" s="106">
        <v>30</v>
      </c>
      <c r="R24" s="106">
        <v>0</v>
      </c>
      <c r="S2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30</v>
      </c>
      <c r="T24" s="110">
        <f>T20</f>
        <v>2</v>
      </c>
      <c r="U24" s="79" t="s">
        <v>33</v>
      </c>
      <c r="V24" s="79" t="s">
        <v>108</v>
      </c>
      <c r="W24" s="126" t="s">
        <v>109</v>
      </c>
      <c r="X24" s="111" t="b">
        <f>EXACT(EDUVIAL_2023[[#This Row],[TOTAL SEXO]],EDUVIAL_2023[[#This Row],[TOTAL RANGOS]])</f>
        <v>1</v>
      </c>
      <c r="Y24" s="106"/>
    </row>
    <row r="25" spans="1:25" ht="28.9">
      <c r="A25" s="102">
        <v>45712</v>
      </c>
      <c r="B25" s="103" t="s">
        <v>46</v>
      </c>
      <c r="C25" s="74" t="s">
        <v>36</v>
      </c>
      <c r="D25" s="6" t="s">
        <v>37</v>
      </c>
      <c r="E25" s="121" t="s">
        <v>38</v>
      </c>
      <c r="F25" s="104" t="s">
        <v>79</v>
      </c>
      <c r="G25" s="23" t="s">
        <v>39</v>
      </c>
      <c r="H25" s="23" t="s">
        <v>40</v>
      </c>
      <c r="I25" s="105" t="s">
        <v>110</v>
      </c>
      <c r="J25" s="125">
        <v>1</v>
      </c>
      <c r="K25" s="165"/>
      <c r="L25" s="107">
        <f>EDUVIAL_2023[[#This Row],[HOMBRE]]+EDUVIAL_2023[[#This Row],[MUJER]]</f>
        <v>1</v>
      </c>
      <c r="M25" s="108">
        <v>0</v>
      </c>
      <c r="N25" s="108">
        <v>0</v>
      </c>
      <c r="O25" s="106">
        <v>0</v>
      </c>
      <c r="P25" s="106">
        <v>0</v>
      </c>
      <c r="Q25" s="106">
        <v>1</v>
      </c>
      <c r="R25" s="106">
        <v>0</v>
      </c>
      <c r="S2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25" s="110">
        <f>EDUVIAL_2023[[#This Row],[TOTAL SEXO]]</f>
        <v>1</v>
      </c>
      <c r="U25" s="79" t="s">
        <v>33</v>
      </c>
      <c r="V25" s="79" t="s">
        <v>34</v>
      </c>
      <c r="W25" s="127" t="s">
        <v>42</v>
      </c>
      <c r="X25" s="111" t="b">
        <f>EXACT(EDUVIAL_2023[[#This Row],[TOTAL SEXO]],EDUVIAL_2023[[#This Row],[TOTAL RANGOS]])</f>
        <v>1</v>
      </c>
      <c r="Y25" s="106"/>
    </row>
    <row r="26" spans="1:25" ht="43.15">
      <c r="A26" s="102">
        <v>45713</v>
      </c>
      <c r="B26" s="103" t="s">
        <v>46</v>
      </c>
      <c r="C26" s="74" t="s">
        <v>49</v>
      </c>
      <c r="D26" s="104" t="s">
        <v>111</v>
      </c>
      <c r="E26" s="7" t="s">
        <v>51</v>
      </c>
      <c r="F26" s="104" t="s">
        <v>43</v>
      </c>
      <c r="G26" s="23" t="s">
        <v>112</v>
      </c>
      <c r="H26" s="95" t="s">
        <v>96</v>
      </c>
      <c r="I26" s="104" t="s">
        <v>97</v>
      </c>
      <c r="J26" s="125">
        <v>46</v>
      </c>
      <c r="K26" s="165">
        <v>4</v>
      </c>
      <c r="L26" s="107">
        <f>EDUVIAL_2023[[#This Row],[HOMBRE]]+EDUVIAL_2023[[#This Row],[MUJER]]</f>
        <v>50</v>
      </c>
      <c r="M26" s="108">
        <v>0</v>
      </c>
      <c r="N26" s="108">
        <v>0</v>
      </c>
      <c r="O26" s="106">
        <v>0</v>
      </c>
      <c r="P26" s="106">
        <v>0</v>
      </c>
      <c r="Q26" s="106">
        <v>50</v>
      </c>
      <c r="R26" s="106">
        <v>0</v>
      </c>
      <c r="S2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50</v>
      </c>
      <c r="T26" s="110">
        <f>EDUVIAL_2023[[#This Row],[TOTAL SEXO]]</f>
        <v>50</v>
      </c>
      <c r="U26" s="119" t="s">
        <v>73</v>
      </c>
      <c r="V26" s="79" t="s">
        <v>74</v>
      </c>
      <c r="W26" s="126" t="s">
        <v>113</v>
      </c>
      <c r="X26" s="111" t="b">
        <f>EXACT(EDUVIAL_2023[[#This Row],[TOTAL SEXO]],EDUVIAL_2023[[#This Row],[TOTAL RANGOS]])</f>
        <v>1</v>
      </c>
      <c r="Y26" s="106"/>
    </row>
    <row r="27" spans="1:25" ht="43.15">
      <c r="A27" s="102">
        <v>45713</v>
      </c>
      <c r="B27" s="103" t="s">
        <v>46</v>
      </c>
      <c r="C27" s="74" t="s">
        <v>49</v>
      </c>
      <c r="D27" s="104" t="s">
        <v>111</v>
      </c>
      <c r="E27" s="7" t="s">
        <v>51</v>
      </c>
      <c r="F27" s="104" t="s">
        <v>79</v>
      </c>
      <c r="G27" s="23" t="s">
        <v>114</v>
      </c>
      <c r="H27" s="23" t="s">
        <v>40</v>
      </c>
      <c r="I27" s="105" t="s">
        <v>115</v>
      </c>
      <c r="J27" s="125">
        <v>9</v>
      </c>
      <c r="K27" s="165">
        <v>1</v>
      </c>
      <c r="L27" s="107">
        <f>EDUVIAL_2023[[#This Row],[HOMBRE]]+EDUVIAL_2023[[#This Row],[MUJER]]</f>
        <v>10</v>
      </c>
      <c r="M27" s="108">
        <v>0</v>
      </c>
      <c r="N27" s="108">
        <v>0</v>
      </c>
      <c r="O27" s="106">
        <v>0</v>
      </c>
      <c r="P27" s="106">
        <v>0</v>
      </c>
      <c r="Q27" s="106">
        <v>10</v>
      </c>
      <c r="R27" s="106">
        <v>0</v>
      </c>
      <c r="S2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10</v>
      </c>
      <c r="T27" s="110">
        <f>EDUVIAL_2023[[#This Row],[TOTAL SEXO]]</f>
        <v>10</v>
      </c>
      <c r="U27" s="79" t="s">
        <v>33</v>
      </c>
      <c r="V27" s="79" t="s">
        <v>34</v>
      </c>
      <c r="W27" s="95" t="s">
        <v>42</v>
      </c>
      <c r="X27" s="111" t="b">
        <f>EXACT(EDUVIAL_2023[[#This Row],[TOTAL SEXO]],EDUVIAL_2023[[#This Row],[TOTAL RANGOS]])</f>
        <v>1</v>
      </c>
      <c r="Y27" s="106"/>
    </row>
    <row r="28" spans="1:25" ht="43.15">
      <c r="A28" s="102">
        <v>45713</v>
      </c>
      <c r="B28" s="102" t="s">
        <v>46</v>
      </c>
      <c r="C28" s="74" t="s">
        <v>67</v>
      </c>
      <c r="D28" s="6" t="s">
        <v>68</v>
      </c>
      <c r="E28" s="7" t="s">
        <v>51</v>
      </c>
      <c r="F28" s="104" t="s">
        <v>79</v>
      </c>
      <c r="G28" s="23" t="s">
        <v>83</v>
      </c>
      <c r="H28" s="181" t="s">
        <v>87</v>
      </c>
      <c r="I28" s="105" t="s">
        <v>88</v>
      </c>
      <c r="J28" s="125">
        <v>9</v>
      </c>
      <c r="K28" s="125">
        <v>13</v>
      </c>
      <c r="L28" s="112">
        <f>EDUVIAL_2023[[#This Row],[HOMBRE]]+EDUVIAL_2023[[#This Row],[MUJER]]</f>
        <v>22</v>
      </c>
      <c r="M28" s="249">
        <v>0</v>
      </c>
      <c r="N28" s="106">
        <v>0</v>
      </c>
      <c r="O28" s="106">
        <v>0</v>
      </c>
      <c r="P28" s="106">
        <v>0</v>
      </c>
      <c r="Q28" s="106">
        <v>22</v>
      </c>
      <c r="R28" s="106">
        <v>0</v>
      </c>
      <c r="S28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22</v>
      </c>
      <c r="T28" s="120">
        <f>EDUVIAL_2023[[#This Row],[TOTAL SEXO]]</f>
        <v>22</v>
      </c>
      <c r="U28" s="79" t="str">
        <f>VLOOKUP(EDUVIAL_2023[[#This Row],[INSTITUCIÓN O EMPRESA]],LISTAS!$J$1:$M$81,3,0)</f>
        <v>Zona 8</v>
      </c>
      <c r="V28" s="79" t="s">
        <v>74</v>
      </c>
      <c r="W28" s="126" t="str">
        <f>VLOOKUP(EDUVIAL_2023[[#This Row],[INSTITUCIÓN O EMPRESA]],LISTAS!$J$1:$M$81,2,0)</f>
        <v>6.171594, -75.591214</v>
      </c>
      <c r="X28" s="111" t="b">
        <f>EXACT(EDUVIAL_2023[[#This Row],[TOTAL SEXO]],EDUVIAL_2023[[#This Row],[TOTAL RANGOS]])</f>
        <v>1</v>
      </c>
      <c r="Y28" s="106"/>
    </row>
    <row r="29" spans="1:25" ht="43.15">
      <c r="A29" s="102">
        <v>45715</v>
      </c>
      <c r="B29" s="103" t="s">
        <v>46</v>
      </c>
      <c r="C29" s="74" t="s">
        <v>49</v>
      </c>
      <c r="D29" s="6" t="s">
        <v>50</v>
      </c>
      <c r="E29" s="7" t="s">
        <v>51</v>
      </c>
      <c r="F29" s="104" t="s">
        <v>79</v>
      </c>
      <c r="G29" s="23" t="s">
        <v>114</v>
      </c>
      <c r="H29" s="95" t="s">
        <v>96</v>
      </c>
      <c r="I29" s="105" t="s">
        <v>116</v>
      </c>
      <c r="J29" s="125">
        <v>3</v>
      </c>
      <c r="K29" s="165">
        <v>4</v>
      </c>
      <c r="L29" s="107">
        <f>EDUVIAL_2023[[#This Row],[HOMBRE]]+EDUVIAL_2023[[#This Row],[MUJER]]</f>
        <v>7</v>
      </c>
      <c r="M29" s="108">
        <v>0</v>
      </c>
      <c r="N29" s="108">
        <v>0</v>
      </c>
      <c r="O29" s="106">
        <v>0</v>
      </c>
      <c r="P29" s="106">
        <v>0</v>
      </c>
      <c r="Q29" s="106">
        <v>7</v>
      </c>
      <c r="R29" s="106">
        <v>0</v>
      </c>
      <c r="S29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7</v>
      </c>
      <c r="T29" s="110">
        <f>EDUVIAL_2023[[#This Row],[TOTAL SEXO]]</f>
        <v>7</v>
      </c>
      <c r="U29" s="79" t="s">
        <v>33</v>
      </c>
      <c r="V29" s="79" t="s">
        <v>34</v>
      </c>
      <c r="W29" s="127" t="s">
        <v>117</v>
      </c>
      <c r="X29" s="111" t="b">
        <f>EXACT(EDUVIAL_2023[[#This Row],[TOTAL SEXO]],EDUVIAL_2023[[#This Row],[TOTAL RANGOS]])</f>
        <v>1</v>
      </c>
      <c r="Y29" s="106"/>
    </row>
    <row r="30" spans="1:25" ht="28.9">
      <c r="A30" s="102">
        <v>45716</v>
      </c>
      <c r="B30" s="103" t="s">
        <v>46</v>
      </c>
      <c r="C30" s="74" t="s">
        <v>67</v>
      </c>
      <c r="D30" s="6" t="s">
        <v>86</v>
      </c>
      <c r="E30" s="177" t="s">
        <v>69</v>
      </c>
      <c r="F30" s="104" t="s">
        <v>43</v>
      </c>
      <c r="G30" s="23" t="s">
        <v>70</v>
      </c>
      <c r="H30" s="23" t="s">
        <v>118</v>
      </c>
      <c r="I30" s="104" t="s">
        <v>119</v>
      </c>
      <c r="J30" s="125">
        <v>1</v>
      </c>
      <c r="K30" s="165">
        <v>1</v>
      </c>
      <c r="L30" s="107">
        <f>EDUVIAL_2023[[#This Row],[HOMBRE]]+EDUVIAL_2023[[#This Row],[MUJER]]</f>
        <v>2</v>
      </c>
      <c r="M30" s="108">
        <v>0</v>
      </c>
      <c r="N30" s="108">
        <v>0</v>
      </c>
      <c r="O30" s="106">
        <v>0</v>
      </c>
      <c r="P30" s="106">
        <v>0</v>
      </c>
      <c r="Q30" s="106">
        <v>2</v>
      </c>
      <c r="R30" s="106">
        <v>0</v>
      </c>
      <c r="S30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</v>
      </c>
      <c r="T30" s="110">
        <f>EDUVIAL_2023[[#This Row],[TOTAL SEXO]]</f>
        <v>2</v>
      </c>
      <c r="U30" s="79" t="str">
        <f>VLOOKUP(EDUVIAL_2023[[#This Row],[INSTITUCIÓN O EMPRESA]],LISTAS!$J$1:$M$81,3,0)</f>
        <v>Zona 12</v>
      </c>
      <c r="V30" s="79" t="str">
        <f>VLOOKUP(EDUVIAL_2023[[#This Row],[INSTITUCIÓN O EMPRESA]],LISTAS!$J$1:$M$81,4,0)</f>
        <v>Vereda Las Palmas</v>
      </c>
      <c r="W30" s="126" t="str">
        <f>VLOOKUP(EDUVIAL_2023[[#This Row],[INSTITUCIÓN O EMPRESA]],LISTAS!$J$1:$M$81,2,0)</f>
        <v>6.151222, -75.533765</v>
      </c>
      <c r="X30" s="111" t="b">
        <f>EXACT(EDUVIAL_2023[[#This Row],[TOTAL SEXO]],EDUVIAL_2023[[#This Row],[TOTAL RANGOS]])</f>
        <v>1</v>
      </c>
      <c r="Y30" s="106"/>
    </row>
    <row r="31" spans="1:25" ht="28.9">
      <c r="A31" s="102">
        <v>45720</v>
      </c>
      <c r="B31" s="103" t="s">
        <v>120</v>
      </c>
      <c r="C31" s="104" t="s">
        <v>26</v>
      </c>
      <c r="D31" s="104" t="s">
        <v>27</v>
      </c>
      <c r="E31" s="121" t="s">
        <v>28</v>
      </c>
      <c r="F31" s="104" t="s">
        <v>79</v>
      </c>
      <c r="G31" s="23" t="s">
        <v>30</v>
      </c>
      <c r="H31" s="23" t="s">
        <v>31</v>
      </c>
      <c r="I31" s="105" t="s">
        <v>121</v>
      </c>
      <c r="J31" s="125">
        <v>87</v>
      </c>
      <c r="K31" s="165">
        <v>15</v>
      </c>
      <c r="L31" s="107">
        <f>EDUVIAL_2023[[#This Row],[HOMBRE]]+EDUVIAL_2023[[#This Row],[MUJER]]</f>
        <v>102</v>
      </c>
      <c r="M31" s="108">
        <v>0</v>
      </c>
      <c r="N31" s="108">
        <v>0</v>
      </c>
      <c r="O31" s="106">
        <v>0</v>
      </c>
      <c r="P31" s="106">
        <v>26</v>
      </c>
      <c r="Q31" s="106">
        <v>66</v>
      </c>
      <c r="R31" s="106">
        <v>10</v>
      </c>
      <c r="S31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102</v>
      </c>
      <c r="T31" s="110">
        <f>EDUVIAL_2023[[#This Row],[TOTAL SEXO]]</f>
        <v>102</v>
      </c>
      <c r="U31" s="79" t="s">
        <v>33</v>
      </c>
      <c r="V31" s="79" t="s">
        <v>34</v>
      </c>
      <c r="W31" s="127" t="s">
        <v>117</v>
      </c>
      <c r="X31" s="111" t="b">
        <f>EXACT(EDUVIAL_2023[[#This Row],[TOTAL SEXO]],EDUVIAL_2023[[#This Row],[TOTAL RANGOS]])</f>
        <v>1</v>
      </c>
      <c r="Y31" s="106"/>
    </row>
    <row r="32" spans="1:25" ht="28.9">
      <c r="A32" s="103">
        <v>45721</v>
      </c>
      <c r="B32" s="103" t="s">
        <v>120</v>
      </c>
      <c r="C32" s="74" t="s">
        <v>36</v>
      </c>
      <c r="D32" s="6" t="s">
        <v>37</v>
      </c>
      <c r="E32" s="121" t="s">
        <v>38</v>
      </c>
      <c r="F32" s="104" t="s">
        <v>43</v>
      </c>
      <c r="G32" s="23" t="s">
        <v>39</v>
      </c>
      <c r="H32" s="23" t="s">
        <v>40</v>
      </c>
      <c r="I32" s="105" t="s">
        <v>122</v>
      </c>
      <c r="J32" s="125">
        <v>0</v>
      </c>
      <c r="K32" s="165">
        <v>1</v>
      </c>
      <c r="L32" s="107">
        <f>EDUVIAL_2023[[#This Row],[HOMBRE]]+EDUVIAL_2023[[#This Row],[MUJER]]</f>
        <v>1</v>
      </c>
      <c r="M32" s="108">
        <v>0</v>
      </c>
      <c r="N32" s="108">
        <v>0</v>
      </c>
      <c r="O32" s="106">
        <v>0</v>
      </c>
      <c r="P32" s="106">
        <v>0</v>
      </c>
      <c r="Q32" s="106">
        <v>1</v>
      </c>
      <c r="R32" s="106">
        <v>0</v>
      </c>
      <c r="S32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32" s="110">
        <f>EDUVIAL_2023[[#This Row],[TOTAL SEXO]]</f>
        <v>1</v>
      </c>
      <c r="U32" s="79" t="s">
        <v>33</v>
      </c>
      <c r="V32" s="79" t="s">
        <v>34</v>
      </c>
      <c r="W32" s="127" t="s">
        <v>117</v>
      </c>
      <c r="X32" s="111" t="b">
        <f>EXACT(EDUVIAL_2023[[#This Row],[TOTAL SEXO]],EDUVIAL_2023[[#This Row],[TOTAL RANGOS]])</f>
        <v>1</v>
      </c>
      <c r="Y32" s="106"/>
    </row>
    <row r="33" spans="1:25" ht="28.9">
      <c r="A33" s="102">
        <v>45722</v>
      </c>
      <c r="B33" s="103" t="s">
        <v>120</v>
      </c>
      <c r="C33" s="104" t="s">
        <v>123</v>
      </c>
      <c r="D33" s="104" t="s">
        <v>27</v>
      </c>
      <c r="E33" s="121" t="s">
        <v>28</v>
      </c>
      <c r="F33" s="104" t="s">
        <v>79</v>
      </c>
      <c r="G33" s="23" t="s">
        <v>30</v>
      </c>
      <c r="H33" s="23" t="s">
        <v>31</v>
      </c>
      <c r="I33" s="105" t="s">
        <v>121</v>
      </c>
      <c r="J33" s="125">
        <v>50</v>
      </c>
      <c r="K33" s="165">
        <v>9</v>
      </c>
      <c r="L33" s="107">
        <f>EDUVIAL_2023[[#This Row],[HOMBRE]]+EDUVIAL_2023[[#This Row],[MUJER]]</f>
        <v>59</v>
      </c>
      <c r="M33" s="108">
        <v>0</v>
      </c>
      <c r="N33" s="108">
        <v>0</v>
      </c>
      <c r="O33" s="106">
        <v>0</v>
      </c>
      <c r="P33" s="106">
        <v>14</v>
      </c>
      <c r="Q33" s="106">
        <v>42</v>
      </c>
      <c r="R33" s="106">
        <v>3</v>
      </c>
      <c r="S33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59</v>
      </c>
      <c r="T33" s="110">
        <f>EDUVIAL_2023[[#This Row],[TOTAL SEXO]]</f>
        <v>59</v>
      </c>
      <c r="U33" s="79" t="s">
        <v>33</v>
      </c>
      <c r="V33" s="79" t="s">
        <v>34</v>
      </c>
      <c r="W33" s="127" t="s">
        <v>117</v>
      </c>
      <c r="X33" s="111" t="b">
        <f>EXACT(EDUVIAL_2023[[#This Row],[TOTAL SEXO]],EDUVIAL_2023[[#This Row],[TOTAL RANGOS]])</f>
        <v>1</v>
      </c>
      <c r="Y33" s="106"/>
    </row>
    <row r="34" spans="1:25" ht="28.9">
      <c r="A34" s="128">
        <v>45725</v>
      </c>
      <c r="B34" s="133" t="s">
        <v>120</v>
      </c>
      <c r="C34" s="74" t="s">
        <v>36</v>
      </c>
      <c r="D34" s="8" t="s">
        <v>124</v>
      </c>
      <c r="E34" s="7" t="s">
        <v>61</v>
      </c>
      <c r="F34" s="104" t="s">
        <v>43</v>
      </c>
      <c r="G34" s="23" t="s">
        <v>125</v>
      </c>
      <c r="H34" s="23" t="s">
        <v>126</v>
      </c>
      <c r="I34" s="105" t="s">
        <v>127</v>
      </c>
      <c r="J34" s="125">
        <v>10</v>
      </c>
      <c r="K34" s="125">
        <v>9</v>
      </c>
      <c r="L34" s="112">
        <f>EDUVIAL_2023[[#This Row],[HOMBRE]]+EDUVIAL_2023[[#This Row],[MUJER]]</f>
        <v>19</v>
      </c>
      <c r="M34" s="249">
        <v>2</v>
      </c>
      <c r="N34" s="106">
        <v>0</v>
      </c>
      <c r="O34" s="106">
        <v>8</v>
      </c>
      <c r="P34" s="106">
        <v>0</v>
      </c>
      <c r="Q34" s="106">
        <v>9</v>
      </c>
      <c r="R34" s="106">
        <v>0</v>
      </c>
      <c r="S3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19</v>
      </c>
      <c r="T34" s="120">
        <f>EDUVIAL_2023[[#This Row],[TOTAL SEXO]]</f>
        <v>19</v>
      </c>
      <c r="U34" s="119" t="s">
        <v>64</v>
      </c>
      <c r="V34" s="79" t="s">
        <v>65</v>
      </c>
      <c r="W34" s="126" t="s">
        <v>66</v>
      </c>
      <c r="X34" s="114" t="b">
        <f>EXACT(EDUVIAL_2023[[#This Row],[TOTAL SEXO]],EDUVIAL_2023[[#This Row],[TOTAL RANGOS]])</f>
        <v>1</v>
      </c>
      <c r="Y34" s="106"/>
    </row>
    <row r="35" spans="1:25" ht="28.9">
      <c r="A35" s="128">
        <v>45726</v>
      </c>
      <c r="B35" s="133" t="s">
        <v>120</v>
      </c>
      <c r="C35" s="74" t="s">
        <v>67</v>
      </c>
      <c r="D35" s="182" t="s">
        <v>101</v>
      </c>
      <c r="E35" s="177" t="s">
        <v>128</v>
      </c>
      <c r="F35" s="104" t="s">
        <v>43</v>
      </c>
      <c r="G35" s="23" t="s">
        <v>129</v>
      </c>
      <c r="H35" s="95" t="s">
        <v>130</v>
      </c>
      <c r="I35" s="105" t="s">
        <v>131</v>
      </c>
      <c r="J35" s="125">
        <v>4</v>
      </c>
      <c r="K35" s="125">
        <v>5</v>
      </c>
      <c r="L35" s="112">
        <f>EDUVIAL_2023[[#This Row],[HOMBRE]]+EDUVIAL_2023[[#This Row],[MUJER]]</f>
        <v>9</v>
      </c>
      <c r="M35" s="249">
        <v>0</v>
      </c>
      <c r="N35" s="106">
        <v>0</v>
      </c>
      <c r="O35" s="106">
        <v>0</v>
      </c>
      <c r="P35" s="106">
        <v>1</v>
      </c>
      <c r="Q35" s="106">
        <v>7</v>
      </c>
      <c r="R35" s="106">
        <v>1</v>
      </c>
      <c r="S3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9</v>
      </c>
      <c r="T35" s="120">
        <f>EDUVIAL_2023[[#This Row],[TOTAL SEXO]]</f>
        <v>9</v>
      </c>
      <c r="U35" s="119" t="s">
        <v>132</v>
      </c>
      <c r="V35" s="119" t="s">
        <v>133</v>
      </c>
      <c r="W35" s="95" t="s">
        <v>134</v>
      </c>
      <c r="X35" s="114" t="b">
        <f>EXACT(EDUVIAL_2023[[#This Row],[TOTAL SEXO]],EDUVIAL_2023[[#This Row],[TOTAL RANGOS]])</f>
        <v>1</v>
      </c>
      <c r="Y35" s="106"/>
    </row>
    <row r="36" spans="1:25" ht="28.9">
      <c r="A36" s="128">
        <v>45727</v>
      </c>
      <c r="B36" s="133" t="s">
        <v>120</v>
      </c>
      <c r="C36" s="74" t="s">
        <v>67</v>
      </c>
      <c r="D36" s="182" t="s">
        <v>101</v>
      </c>
      <c r="E36" s="177" t="s">
        <v>128</v>
      </c>
      <c r="F36" s="104" t="s">
        <v>43</v>
      </c>
      <c r="G36" s="23" t="s">
        <v>129</v>
      </c>
      <c r="H36" s="23" t="s">
        <v>135</v>
      </c>
      <c r="I36" s="105" t="s">
        <v>136</v>
      </c>
      <c r="J36" s="125">
        <v>0</v>
      </c>
      <c r="K36" s="125">
        <v>9</v>
      </c>
      <c r="L36" s="112">
        <f>EDUVIAL_2023[[#This Row],[HOMBRE]]+EDUVIAL_2023[[#This Row],[MUJER]]</f>
        <v>9</v>
      </c>
      <c r="M36" s="249">
        <v>0</v>
      </c>
      <c r="N36" s="106">
        <v>0</v>
      </c>
      <c r="O36" s="106">
        <v>0</v>
      </c>
      <c r="P36" s="106">
        <v>3</v>
      </c>
      <c r="Q36" s="106">
        <v>4</v>
      </c>
      <c r="R36" s="106">
        <v>2</v>
      </c>
      <c r="S3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9</v>
      </c>
      <c r="T36" s="120">
        <f>EDUVIAL_2023[[#This Row],[TOTAL SEXO]]</f>
        <v>9</v>
      </c>
      <c r="U36" s="119" t="s">
        <v>73</v>
      </c>
      <c r="V36" s="79" t="s">
        <v>74</v>
      </c>
      <c r="W36" s="126" t="s">
        <v>113</v>
      </c>
      <c r="X36" s="114" t="b">
        <f>EXACT(EDUVIAL_2023[[#This Row],[TOTAL SEXO]],EDUVIAL_2023[[#This Row],[TOTAL RANGOS]])</f>
        <v>1</v>
      </c>
      <c r="Y36" s="106"/>
    </row>
    <row r="37" spans="1:25" ht="28.9">
      <c r="A37" s="128">
        <v>45728</v>
      </c>
      <c r="B37" s="133" t="s">
        <v>120</v>
      </c>
      <c r="C37" s="74" t="s">
        <v>67</v>
      </c>
      <c r="D37" s="1" t="s">
        <v>137</v>
      </c>
      <c r="E37" s="177" t="s">
        <v>69</v>
      </c>
      <c r="F37" s="104" t="s">
        <v>43</v>
      </c>
      <c r="G37" s="23" t="s">
        <v>138</v>
      </c>
      <c r="H37" s="196" t="s">
        <v>139</v>
      </c>
      <c r="I37" s="105" t="s">
        <v>92</v>
      </c>
      <c r="J37" s="125">
        <v>1</v>
      </c>
      <c r="K37" s="125">
        <v>1</v>
      </c>
      <c r="L37" s="112">
        <f>EDUVIAL_2023[[#This Row],[HOMBRE]]+EDUVIAL_2023[[#This Row],[MUJER]]</f>
        <v>2</v>
      </c>
      <c r="M37" s="249">
        <v>0</v>
      </c>
      <c r="N37" s="106">
        <v>0</v>
      </c>
      <c r="O37" s="106">
        <v>0</v>
      </c>
      <c r="P37" s="106">
        <v>0</v>
      </c>
      <c r="Q37" s="106">
        <v>2</v>
      </c>
      <c r="R37" s="106">
        <v>0</v>
      </c>
      <c r="S3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</v>
      </c>
      <c r="T37" s="120">
        <f>EDUVIAL_2023[[#This Row],[TOTAL SEXO]]</f>
        <v>2</v>
      </c>
      <c r="U37" s="119" t="s">
        <v>140</v>
      </c>
      <c r="V37" s="119" t="s">
        <v>141</v>
      </c>
      <c r="W37" s="127" t="s">
        <v>142</v>
      </c>
      <c r="X37" s="114" t="b">
        <f>EXACT(EDUVIAL_2023[[#This Row],[TOTAL SEXO]],EDUVIAL_2023[[#This Row],[TOTAL RANGOS]])</f>
        <v>1</v>
      </c>
      <c r="Y37" s="106"/>
    </row>
    <row r="38" spans="1:25" ht="28.9">
      <c r="A38" s="128">
        <v>45728</v>
      </c>
      <c r="B38" s="133" t="s">
        <v>120</v>
      </c>
      <c r="C38" s="104" t="s">
        <v>123</v>
      </c>
      <c r="D38" s="104" t="s">
        <v>27</v>
      </c>
      <c r="E38" s="121" t="s">
        <v>28</v>
      </c>
      <c r="F38" s="104" t="s">
        <v>43</v>
      </c>
      <c r="G38" s="23" t="s">
        <v>30</v>
      </c>
      <c r="H38" s="23" t="s">
        <v>31</v>
      </c>
      <c r="I38" s="105" t="s">
        <v>121</v>
      </c>
      <c r="J38" s="125">
        <v>35</v>
      </c>
      <c r="K38" s="125">
        <v>4</v>
      </c>
      <c r="L38" s="112">
        <f>EDUVIAL_2023[[#This Row],[HOMBRE]]+EDUVIAL_2023[[#This Row],[MUJER]]</f>
        <v>39</v>
      </c>
      <c r="M38" s="249"/>
      <c r="N38" s="106"/>
      <c r="O38" s="106"/>
      <c r="P38" s="106">
        <v>2</v>
      </c>
      <c r="Q38" s="106">
        <v>36</v>
      </c>
      <c r="R38" s="106">
        <v>1</v>
      </c>
      <c r="S38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39</v>
      </c>
      <c r="T38" s="120">
        <f>EDUVIAL_2023[[#This Row],[TOTAL SEXO]]</f>
        <v>39</v>
      </c>
      <c r="U38" s="119" t="s">
        <v>33</v>
      </c>
      <c r="V38" s="79" t="s">
        <v>34</v>
      </c>
      <c r="W38" s="127" t="s">
        <v>117</v>
      </c>
      <c r="X38" s="114" t="b">
        <f>EXACT(EDUVIAL_2023[[#This Row],[TOTAL SEXO]],EDUVIAL_2023[[#This Row],[TOTAL RANGOS]])</f>
        <v>1</v>
      </c>
      <c r="Y38" s="106"/>
    </row>
    <row r="39" spans="1:25" ht="28.9">
      <c r="A39" s="128">
        <v>45728</v>
      </c>
      <c r="B39" s="133" t="s">
        <v>120</v>
      </c>
      <c r="C39" s="74" t="s">
        <v>67</v>
      </c>
      <c r="D39" s="1" t="s">
        <v>137</v>
      </c>
      <c r="E39" s="177" t="s">
        <v>69</v>
      </c>
      <c r="F39" s="104" t="s">
        <v>43</v>
      </c>
      <c r="G39" s="23" t="s">
        <v>138</v>
      </c>
      <c r="H39" s="181" t="s">
        <v>75</v>
      </c>
      <c r="I39" s="105" t="s">
        <v>143</v>
      </c>
      <c r="J39" s="125">
        <v>2</v>
      </c>
      <c r="K39" s="125"/>
      <c r="L39" s="112">
        <f>EDUVIAL_2023[[#This Row],[HOMBRE]]+EDUVIAL_2023[[#This Row],[MUJER]]</f>
        <v>2</v>
      </c>
      <c r="M39" s="249"/>
      <c r="N39" s="106"/>
      <c r="O39" s="106"/>
      <c r="P39" s="106"/>
      <c r="Q39" s="106">
        <v>2</v>
      </c>
      <c r="R39" s="106"/>
      <c r="S39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</v>
      </c>
      <c r="T39" s="120">
        <f>EDUVIAL_2023[[#This Row],[TOTAL SEXO]]</f>
        <v>2</v>
      </c>
      <c r="U39" s="79" t="str">
        <f>VLOOKUP(EDUVIAL_2023[[#This Row],[INSTITUCIÓN O EMPRESA]],LISTAS!$J$1:$M$81,3,0)</f>
        <v>Zona 7</v>
      </c>
      <c r="V39" s="79" t="str">
        <f>VLOOKUP(EDUVIAL_2023[[#This Row],[INSTITUCIÓN O EMPRESA]],LISTAS!$J$1:$M$81,4,0)</f>
        <v>La Paz</v>
      </c>
      <c r="W39" s="126" t="str">
        <f>VLOOKUP(EDUVIAL_2023[[#This Row],[INSTITUCIÓN O EMPRESA]],LISTAS!$J$1:$M$81,2,0)</f>
        <v>6.162272, -75.594035</v>
      </c>
      <c r="X39" s="114" t="b">
        <f>EXACT(EDUVIAL_2023[[#This Row],[TOTAL SEXO]],EDUVIAL_2023[[#This Row],[TOTAL RANGOS]])</f>
        <v>1</v>
      </c>
      <c r="Y39" s="106"/>
    </row>
    <row r="40" spans="1:25" ht="28.9">
      <c r="A40" s="128">
        <v>45729</v>
      </c>
      <c r="B40" s="133" t="s">
        <v>120</v>
      </c>
      <c r="C40" s="74" t="s">
        <v>67</v>
      </c>
      <c r="D40" s="1" t="s">
        <v>137</v>
      </c>
      <c r="E40" s="177" t="s">
        <v>69</v>
      </c>
      <c r="F40" s="104" t="s">
        <v>43</v>
      </c>
      <c r="G40" s="23" t="s">
        <v>138</v>
      </c>
      <c r="H40" s="196" t="s">
        <v>144</v>
      </c>
      <c r="I40" s="104" t="s">
        <v>92</v>
      </c>
      <c r="J40" s="125">
        <v>3</v>
      </c>
      <c r="K40" s="125">
        <v>1</v>
      </c>
      <c r="L40" s="112">
        <f>EDUVIAL_2023[[#This Row],[HOMBRE]]+EDUVIAL_2023[[#This Row],[MUJER]]</f>
        <v>4</v>
      </c>
      <c r="M40" s="249">
        <v>0</v>
      </c>
      <c r="N40" s="106">
        <v>0</v>
      </c>
      <c r="O40" s="106">
        <v>0</v>
      </c>
      <c r="P40" s="106">
        <v>0</v>
      </c>
      <c r="Q40" s="106">
        <v>4</v>
      </c>
      <c r="R40" s="106"/>
      <c r="S40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4</v>
      </c>
      <c r="T40" s="120">
        <f>EDUVIAL_2023[[#This Row],[TOTAL SEXO]]</f>
        <v>4</v>
      </c>
      <c r="U40" s="119" t="s">
        <v>145</v>
      </c>
      <c r="V40" s="126" t="s">
        <v>146</v>
      </c>
      <c r="W40" s="127" t="s">
        <v>147</v>
      </c>
      <c r="X40" s="114" t="b">
        <f>EXACT(EDUVIAL_2023[[#This Row],[TOTAL SEXO]],EDUVIAL_2023[[#This Row],[TOTAL RANGOS]])</f>
        <v>1</v>
      </c>
      <c r="Y40" s="106"/>
    </row>
    <row r="41" spans="1:25">
      <c r="A41" s="128">
        <v>45729</v>
      </c>
      <c r="B41" s="133" t="s">
        <v>120</v>
      </c>
      <c r="C41" s="74" t="s">
        <v>49</v>
      </c>
      <c r="D41" s="6" t="s">
        <v>148</v>
      </c>
      <c r="E41" s="7" t="s">
        <v>94</v>
      </c>
      <c r="F41" s="104" t="s">
        <v>43</v>
      </c>
      <c r="G41" s="23" t="s">
        <v>149</v>
      </c>
      <c r="H41" s="23" t="s">
        <v>150</v>
      </c>
      <c r="I41" s="105" t="s">
        <v>151</v>
      </c>
      <c r="J41" s="125">
        <v>22</v>
      </c>
      <c r="K41" s="125">
        <v>3</v>
      </c>
      <c r="L41" s="112">
        <f>EDUVIAL_2023[[#This Row],[HOMBRE]]+EDUVIAL_2023[[#This Row],[MUJER]]</f>
        <v>25</v>
      </c>
      <c r="M41" s="249">
        <v>0</v>
      </c>
      <c r="N41" s="106">
        <v>0</v>
      </c>
      <c r="O41" s="106">
        <v>0</v>
      </c>
      <c r="P41" s="106">
        <v>11</v>
      </c>
      <c r="Q41" s="106">
        <v>13</v>
      </c>
      <c r="R41" s="106">
        <v>1</v>
      </c>
      <c r="S41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25</v>
      </c>
      <c r="T41" s="120">
        <f>EDUVIAL_2023[[#This Row],[TOTAL SEXO]]</f>
        <v>25</v>
      </c>
      <c r="U41" s="119" t="s">
        <v>33</v>
      </c>
      <c r="V41" s="119" t="s">
        <v>34</v>
      </c>
      <c r="W41" s="127" t="s">
        <v>117</v>
      </c>
      <c r="X41" s="114" t="b">
        <f>EXACT(EDUVIAL_2023[[#This Row],[TOTAL SEXO]],EDUVIAL_2023[[#This Row],[TOTAL RANGOS]])</f>
        <v>1</v>
      </c>
      <c r="Y41" s="106"/>
    </row>
    <row r="42" spans="1:25" ht="28.9">
      <c r="A42" s="128">
        <v>45730</v>
      </c>
      <c r="B42" s="133" t="s">
        <v>120</v>
      </c>
      <c r="C42" s="74" t="s">
        <v>67</v>
      </c>
      <c r="D42" s="182" t="s">
        <v>101</v>
      </c>
      <c r="E42" s="177" t="s">
        <v>128</v>
      </c>
      <c r="F42" s="104" t="s">
        <v>43</v>
      </c>
      <c r="G42" s="23" t="s">
        <v>138</v>
      </c>
      <c r="H42" s="181" t="s">
        <v>152</v>
      </c>
      <c r="I42" s="105" t="s">
        <v>153</v>
      </c>
      <c r="J42" s="125">
        <v>5</v>
      </c>
      <c r="K42" s="125">
        <v>27</v>
      </c>
      <c r="L42" s="112">
        <f>EDUVIAL_2023[[#This Row],[HOMBRE]]+EDUVIAL_2023[[#This Row],[MUJER]]</f>
        <v>32</v>
      </c>
      <c r="M42" s="249">
        <v>0</v>
      </c>
      <c r="N42" s="106">
        <v>0</v>
      </c>
      <c r="O42" s="106">
        <v>0</v>
      </c>
      <c r="P42" s="106">
        <v>0</v>
      </c>
      <c r="Q42" s="106">
        <v>32</v>
      </c>
      <c r="R42" s="106">
        <v>0</v>
      </c>
      <c r="S42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32</v>
      </c>
      <c r="T42" s="120">
        <f>EDUVIAL_2023[[#This Row],[TOTAL SEXO]]</f>
        <v>32</v>
      </c>
      <c r="U42" s="119" t="s">
        <v>33</v>
      </c>
      <c r="V42" s="79" t="s">
        <v>34</v>
      </c>
      <c r="W42" s="127" t="s">
        <v>117</v>
      </c>
      <c r="X42" s="114" t="b">
        <f>EXACT(EDUVIAL_2023[[#This Row],[TOTAL SEXO]],EDUVIAL_2023[[#This Row],[TOTAL RANGOS]])</f>
        <v>1</v>
      </c>
      <c r="Y42" s="106"/>
    </row>
    <row r="43" spans="1:25" ht="28.9">
      <c r="A43" s="128">
        <v>45730</v>
      </c>
      <c r="B43" s="133" t="s">
        <v>120</v>
      </c>
      <c r="C43" s="74" t="s">
        <v>67</v>
      </c>
      <c r="D43" s="1" t="s">
        <v>137</v>
      </c>
      <c r="E43" s="177" t="s">
        <v>69</v>
      </c>
      <c r="F43" s="104" t="s">
        <v>43</v>
      </c>
      <c r="G43" s="23" t="s">
        <v>138</v>
      </c>
      <c r="H43" s="121" t="s">
        <v>154</v>
      </c>
      <c r="I43" s="105" t="s">
        <v>155</v>
      </c>
      <c r="J43" s="125">
        <v>2</v>
      </c>
      <c r="K43" s="125">
        <v>1</v>
      </c>
      <c r="L43" s="112">
        <f>EDUVIAL_2023[[#This Row],[HOMBRE]]+EDUVIAL_2023[[#This Row],[MUJER]]</f>
        <v>3</v>
      </c>
      <c r="M43" s="249">
        <v>0</v>
      </c>
      <c r="N43" s="106">
        <v>0</v>
      </c>
      <c r="O43" s="106">
        <v>0</v>
      </c>
      <c r="P43" s="106">
        <v>0</v>
      </c>
      <c r="Q43" s="106">
        <v>3</v>
      </c>
      <c r="R43" s="106">
        <v>0</v>
      </c>
      <c r="S43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</v>
      </c>
      <c r="T43" s="120">
        <f>EDUVIAL_2023[[#This Row],[TOTAL SEXO]]</f>
        <v>3</v>
      </c>
      <c r="U43" s="119" t="s">
        <v>156</v>
      </c>
      <c r="V43" s="119" t="s">
        <v>157</v>
      </c>
      <c r="W43" s="127" t="s">
        <v>158</v>
      </c>
      <c r="X43" s="114" t="b">
        <f>EXACT(EDUVIAL_2023[[#This Row],[TOTAL SEXO]],EDUVIAL_2023[[#This Row],[TOTAL RANGOS]])</f>
        <v>1</v>
      </c>
      <c r="Y43" s="106"/>
    </row>
    <row r="44" spans="1:25" ht="28.9">
      <c r="A44" s="128">
        <v>45730</v>
      </c>
      <c r="B44" s="133" t="s">
        <v>120</v>
      </c>
      <c r="C44" s="104" t="s">
        <v>123</v>
      </c>
      <c r="D44" s="104" t="s">
        <v>27</v>
      </c>
      <c r="E44" s="121" t="s">
        <v>28</v>
      </c>
      <c r="F44" s="105" t="s">
        <v>79</v>
      </c>
      <c r="G44" s="23" t="s">
        <v>30</v>
      </c>
      <c r="H44" s="23" t="s">
        <v>31</v>
      </c>
      <c r="I44" s="105" t="s">
        <v>121</v>
      </c>
      <c r="J44" s="125">
        <v>30</v>
      </c>
      <c r="K44" s="125">
        <v>4</v>
      </c>
      <c r="L44" s="134">
        <f>EDUVIAL_2023[[#This Row],[HOMBRE]]+EDUVIAL_2023[[#This Row],[MUJER]]</f>
        <v>34</v>
      </c>
      <c r="M44" s="135">
        <v>0</v>
      </c>
      <c r="N44" s="106">
        <v>0</v>
      </c>
      <c r="O44" s="106">
        <v>0</v>
      </c>
      <c r="P44" s="106">
        <v>10</v>
      </c>
      <c r="Q44" s="106">
        <v>23</v>
      </c>
      <c r="R44" s="106">
        <v>1</v>
      </c>
      <c r="S4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34</v>
      </c>
      <c r="T44" s="120">
        <f>EDUVIAL_2023[[#This Row],[TOTAL SEXO]]</f>
        <v>34</v>
      </c>
      <c r="U44" s="119" t="s">
        <v>33</v>
      </c>
      <c r="V44" s="79" t="s">
        <v>34</v>
      </c>
      <c r="W44" s="127" t="s">
        <v>117</v>
      </c>
      <c r="X44" s="114" t="b">
        <f>EXACT(EDUVIAL_2023[[#This Row],[TOTAL SEXO]],EDUVIAL_2023[[#This Row],[TOTAL RANGOS]])</f>
        <v>1</v>
      </c>
      <c r="Y44" s="106"/>
    </row>
    <row r="45" spans="1:25" ht="43.15">
      <c r="A45" s="128">
        <v>45731</v>
      </c>
      <c r="B45" s="133" t="s">
        <v>120</v>
      </c>
      <c r="C45" s="74" t="s">
        <v>67</v>
      </c>
      <c r="D45" s="6" t="s">
        <v>86</v>
      </c>
      <c r="E45" s="7" t="s">
        <v>51</v>
      </c>
      <c r="F45" s="104" t="s">
        <v>43</v>
      </c>
      <c r="G45" s="23" t="s">
        <v>159</v>
      </c>
      <c r="H45" s="181" t="s">
        <v>98</v>
      </c>
      <c r="I45" s="105" t="s">
        <v>160</v>
      </c>
      <c r="J45" s="125">
        <v>4</v>
      </c>
      <c r="K45" s="125">
        <v>23</v>
      </c>
      <c r="L45" s="134">
        <f>EDUVIAL_2023[[#This Row],[HOMBRE]]+EDUVIAL_2023[[#This Row],[MUJER]]</f>
        <v>27</v>
      </c>
      <c r="M45" s="135">
        <v>0</v>
      </c>
      <c r="N45" s="106">
        <v>0</v>
      </c>
      <c r="O45" s="106">
        <v>0</v>
      </c>
      <c r="P45" s="106">
        <v>0</v>
      </c>
      <c r="Q45" s="106">
        <v>27</v>
      </c>
      <c r="R45" s="106">
        <v>0</v>
      </c>
      <c r="S4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27</v>
      </c>
      <c r="T45" s="120">
        <f>EDUVIAL_2023[[#This Row],[TOTAL SEXO]]</f>
        <v>27</v>
      </c>
      <c r="U45" s="119" t="s">
        <v>73</v>
      </c>
      <c r="V45" s="79" t="s">
        <v>74</v>
      </c>
      <c r="W45" s="126" t="s">
        <v>113</v>
      </c>
      <c r="X45" s="114" t="b">
        <f>EXACT(EDUVIAL_2023[[#This Row],[TOTAL SEXO]],EDUVIAL_2023[[#This Row],[TOTAL RANGOS]])</f>
        <v>1</v>
      </c>
      <c r="Y45" s="106"/>
    </row>
    <row r="46" spans="1:25" ht="28.9">
      <c r="A46" s="128">
        <v>45734</v>
      </c>
      <c r="B46" s="108" t="s">
        <v>120</v>
      </c>
      <c r="C46" s="74" t="s">
        <v>67</v>
      </c>
      <c r="D46" s="104" t="s">
        <v>86</v>
      </c>
      <c r="E46" s="177" t="s">
        <v>69</v>
      </c>
      <c r="F46" s="104" t="s">
        <v>43</v>
      </c>
      <c r="G46" s="23" t="s">
        <v>138</v>
      </c>
      <c r="H46" s="196" t="s">
        <v>161</v>
      </c>
      <c r="I46" s="104" t="s">
        <v>162</v>
      </c>
      <c r="J46" s="125">
        <v>1</v>
      </c>
      <c r="K46" s="125">
        <v>0</v>
      </c>
      <c r="L46" s="134">
        <f>EDUVIAL_2023[[#This Row],[HOMBRE]]+EDUVIAL_2023[[#This Row],[MUJER]]</f>
        <v>1</v>
      </c>
      <c r="M46" s="135">
        <v>0</v>
      </c>
      <c r="N46" s="106">
        <v>0</v>
      </c>
      <c r="O46" s="106">
        <v>0</v>
      </c>
      <c r="P46" s="106">
        <v>0</v>
      </c>
      <c r="Q46" s="106">
        <v>1</v>
      </c>
      <c r="R46" s="106">
        <v>0</v>
      </c>
      <c r="S4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46" s="120">
        <f>EDUVIAL_2023[[#This Row],[TOTAL SEXO]]</f>
        <v>1</v>
      </c>
      <c r="U46" s="106" t="s">
        <v>132</v>
      </c>
      <c r="V46" s="119" t="s">
        <v>163</v>
      </c>
      <c r="W46" s="127" t="s">
        <v>164</v>
      </c>
      <c r="X46" s="114" t="b">
        <f>EXACT(EDUVIAL_2023[[#This Row],[TOTAL SEXO]],EDUVIAL_2023[[#This Row],[TOTAL RANGOS]])</f>
        <v>1</v>
      </c>
      <c r="Y46" s="106"/>
    </row>
    <row r="47" spans="1:25" ht="28.9">
      <c r="A47" s="128">
        <v>45737</v>
      </c>
      <c r="B47" s="108" t="s">
        <v>120</v>
      </c>
      <c r="C47" s="74" t="s">
        <v>67</v>
      </c>
      <c r="D47" s="104" t="s">
        <v>86</v>
      </c>
      <c r="E47" s="177" t="s">
        <v>69</v>
      </c>
      <c r="F47" s="104" t="s">
        <v>43</v>
      </c>
      <c r="G47" s="23" t="s">
        <v>138</v>
      </c>
      <c r="H47" s="121" t="s">
        <v>165</v>
      </c>
      <c r="I47" s="104" t="s">
        <v>166</v>
      </c>
      <c r="J47" s="125">
        <v>1</v>
      </c>
      <c r="K47" s="125">
        <v>1</v>
      </c>
      <c r="L47" s="134">
        <f>EDUVIAL_2023[[#This Row],[HOMBRE]]+EDUVIAL_2023[[#This Row],[MUJER]]</f>
        <v>2</v>
      </c>
      <c r="M47" s="135">
        <v>0</v>
      </c>
      <c r="N47" s="106">
        <v>0</v>
      </c>
      <c r="O47" s="106">
        <v>0</v>
      </c>
      <c r="P47" s="106">
        <v>0</v>
      </c>
      <c r="Q47" s="106">
        <v>2</v>
      </c>
      <c r="R47" s="106">
        <v>0</v>
      </c>
      <c r="S4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</v>
      </c>
      <c r="T47" s="120">
        <f>EDUVIAL_2023[[#This Row],[TOTAL SEXO]]</f>
        <v>2</v>
      </c>
      <c r="U47" s="106" t="s">
        <v>132</v>
      </c>
      <c r="V47" s="119" t="s">
        <v>133</v>
      </c>
      <c r="W47" s="127" t="s">
        <v>167</v>
      </c>
      <c r="X47" s="114" t="b">
        <f>EXACT(EDUVIAL_2023[[#This Row],[TOTAL SEXO]],EDUVIAL_2023[[#This Row],[TOTAL RANGOS]])</f>
        <v>1</v>
      </c>
      <c r="Y47" s="106"/>
    </row>
    <row r="48" spans="1:25" ht="43.15">
      <c r="A48" s="128">
        <v>45741</v>
      </c>
      <c r="B48" s="108" t="s">
        <v>120</v>
      </c>
      <c r="C48" s="74" t="s">
        <v>67</v>
      </c>
      <c r="D48" s="182" t="s">
        <v>168</v>
      </c>
      <c r="E48" s="7" t="s">
        <v>51</v>
      </c>
      <c r="F48" s="104" t="s">
        <v>43</v>
      </c>
      <c r="G48" s="121" t="s">
        <v>169</v>
      </c>
      <c r="H48" s="181" t="s">
        <v>98</v>
      </c>
      <c r="I48" s="105" t="s">
        <v>160</v>
      </c>
      <c r="J48" s="125">
        <v>1</v>
      </c>
      <c r="K48" s="125">
        <v>5</v>
      </c>
      <c r="L48" s="134">
        <f>EDUVIAL_2023[[#This Row],[HOMBRE]]+EDUVIAL_2023[[#This Row],[MUJER]]</f>
        <v>6</v>
      </c>
      <c r="M48" s="135">
        <v>0</v>
      </c>
      <c r="N48" s="106">
        <v>0</v>
      </c>
      <c r="O48" s="106">
        <v>0</v>
      </c>
      <c r="P48" s="106">
        <v>0</v>
      </c>
      <c r="Q48" s="106">
        <v>6</v>
      </c>
      <c r="R48" s="106">
        <v>0</v>
      </c>
      <c r="S48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6</v>
      </c>
      <c r="T48" s="120">
        <f>EDUVIAL_2023[[#This Row],[TOTAL SEXO]]</f>
        <v>6</v>
      </c>
      <c r="U48" s="119" t="s">
        <v>73</v>
      </c>
      <c r="V48" s="79" t="s">
        <v>74</v>
      </c>
      <c r="W48" s="126" t="s">
        <v>113</v>
      </c>
      <c r="X48" s="114" t="b">
        <f>EXACT(EDUVIAL_2023[[#This Row],[TOTAL SEXO]],EDUVIAL_2023[[#This Row],[TOTAL RANGOS]])</f>
        <v>1</v>
      </c>
      <c r="Y48" s="106"/>
    </row>
    <row r="49" spans="1:25" ht="43.15">
      <c r="A49" s="128">
        <v>45743</v>
      </c>
      <c r="B49" s="108" t="s">
        <v>120</v>
      </c>
      <c r="C49" s="74" t="s">
        <v>67</v>
      </c>
      <c r="D49" s="104" t="s">
        <v>170</v>
      </c>
      <c r="E49" s="7" t="s">
        <v>51</v>
      </c>
      <c r="F49" s="104" t="s">
        <v>43</v>
      </c>
      <c r="G49" s="121" t="s">
        <v>169</v>
      </c>
      <c r="H49" s="181" t="s">
        <v>87</v>
      </c>
      <c r="I49" s="104" t="s">
        <v>72</v>
      </c>
      <c r="J49" s="125">
        <v>3</v>
      </c>
      <c r="K49" s="125">
        <v>17</v>
      </c>
      <c r="L49" s="134">
        <f>EDUVIAL_2023[[#This Row],[HOMBRE]]+EDUVIAL_2023[[#This Row],[MUJER]]</f>
        <v>20</v>
      </c>
      <c r="M49" s="135">
        <v>0</v>
      </c>
      <c r="N49" s="106">
        <v>0</v>
      </c>
      <c r="O49" s="106">
        <v>0</v>
      </c>
      <c r="P49" s="106">
        <v>0</v>
      </c>
      <c r="Q49" s="106">
        <v>19</v>
      </c>
      <c r="R49" s="106">
        <v>1</v>
      </c>
      <c r="S49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20</v>
      </c>
      <c r="T49" s="120">
        <f>EDUVIAL_2023[[#This Row],[TOTAL SEXO]]</f>
        <v>20</v>
      </c>
      <c r="U49" s="79" t="str">
        <f>VLOOKUP(EDUVIAL_2023[[#This Row],[INSTITUCIÓN O EMPRESA]],LISTAS!$J$1:$M$81,3,0)</f>
        <v>Zona 8</v>
      </c>
      <c r="V49" s="79" t="s">
        <v>74</v>
      </c>
      <c r="W49" s="126" t="str">
        <f>VLOOKUP(EDUVIAL_2023[[#This Row],[INSTITUCIÓN O EMPRESA]],LISTAS!$J$1:$M$81,2,0)</f>
        <v>6.171594, -75.591214</v>
      </c>
      <c r="X49" s="114" t="b">
        <f>EXACT(EDUVIAL_2023[[#This Row],[TOTAL SEXO]],EDUVIAL_2023[[#This Row],[TOTAL RANGOS]])</f>
        <v>1</v>
      </c>
      <c r="Y49" s="106"/>
    </row>
    <row r="50" spans="1:25" ht="28.9">
      <c r="A50" s="128">
        <v>45738</v>
      </c>
      <c r="B50" s="108" t="s">
        <v>120</v>
      </c>
      <c r="C50" s="74" t="s">
        <v>36</v>
      </c>
      <c r="D50" s="6" t="s">
        <v>37</v>
      </c>
      <c r="E50" s="121" t="s">
        <v>38</v>
      </c>
      <c r="F50" s="104" t="s">
        <v>43</v>
      </c>
      <c r="G50" s="23" t="s">
        <v>39</v>
      </c>
      <c r="H50" s="23" t="s">
        <v>40</v>
      </c>
      <c r="I50" s="104" t="s">
        <v>171</v>
      </c>
      <c r="J50" s="125">
        <v>1</v>
      </c>
      <c r="K50" s="125">
        <v>0</v>
      </c>
      <c r="L50" s="134">
        <f>EDUVIAL_2023[[#This Row],[HOMBRE]]+EDUVIAL_2023[[#This Row],[MUJER]]</f>
        <v>1</v>
      </c>
      <c r="M50" s="135">
        <v>0</v>
      </c>
      <c r="N50" s="106">
        <v>0</v>
      </c>
      <c r="O50" s="106">
        <v>0</v>
      </c>
      <c r="P50" s="106">
        <v>0</v>
      </c>
      <c r="Q50" s="106">
        <v>1</v>
      </c>
      <c r="R50" s="106">
        <v>0</v>
      </c>
      <c r="S50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50" s="120">
        <f>EDUVIAL_2023[[#This Row],[TOTAL SEXO]]</f>
        <v>1</v>
      </c>
      <c r="U50" s="119" t="s">
        <v>33</v>
      </c>
      <c r="V50" s="79" t="s">
        <v>34</v>
      </c>
      <c r="W50" s="127" t="s">
        <v>117</v>
      </c>
      <c r="X50" s="114" t="b">
        <f>EXACT(EDUVIAL_2023[[#This Row],[TOTAL SEXO]],EDUVIAL_2023[[#This Row],[TOTAL RANGOS]])</f>
        <v>1</v>
      </c>
      <c r="Y50" s="106"/>
    </row>
    <row r="51" spans="1:25" ht="43.15">
      <c r="A51" s="128">
        <v>45741</v>
      </c>
      <c r="B51" s="108" t="s">
        <v>120</v>
      </c>
      <c r="C51" s="74" t="s">
        <v>67</v>
      </c>
      <c r="D51" s="104" t="s">
        <v>101</v>
      </c>
      <c r="E51" s="7" t="s">
        <v>51</v>
      </c>
      <c r="F51" s="104" t="s">
        <v>43</v>
      </c>
      <c r="G51" s="121" t="s">
        <v>107</v>
      </c>
      <c r="H51" s="181" t="s">
        <v>98</v>
      </c>
      <c r="I51" s="104" t="s">
        <v>160</v>
      </c>
      <c r="J51" s="125">
        <v>1</v>
      </c>
      <c r="K51" s="125">
        <v>5</v>
      </c>
      <c r="L51" s="134">
        <f>EDUVIAL_2023[[#This Row],[HOMBRE]]+EDUVIAL_2023[[#This Row],[MUJER]]</f>
        <v>6</v>
      </c>
      <c r="M51" s="135">
        <v>0</v>
      </c>
      <c r="N51" s="106">
        <v>0</v>
      </c>
      <c r="O51" s="106">
        <v>0</v>
      </c>
      <c r="P51" s="106">
        <v>0</v>
      </c>
      <c r="Q51" s="106">
        <v>6</v>
      </c>
      <c r="R51" s="106">
        <v>0</v>
      </c>
      <c r="S51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6</v>
      </c>
      <c r="T51" s="120">
        <f>EDUVIAL_2023[[#This Row],[TOTAL SEXO]]</f>
        <v>6</v>
      </c>
      <c r="U51" s="106" t="s">
        <v>73</v>
      </c>
      <c r="V51" s="79" t="s">
        <v>74</v>
      </c>
      <c r="W51" s="126" t="s">
        <v>113</v>
      </c>
      <c r="X51" s="114" t="b">
        <f>EXACT(EDUVIAL_2023[[#This Row],[TOTAL SEXO]],EDUVIAL_2023[[#This Row],[TOTAL RANGOS]])</f>
        <v>1</v>
      </c>
      <c r="Y51" s="106"/>
    </row>
    <row r="52" spans="1:25" ht="43.15">
      <c r="A52" s="128">
        <v>45741</v>
      </c>
      <c r="B52" s="108" t="s">
        <v>120</v>
      </c>
      <c r="C52" s="74" t="s">
        <v>49</v>
      </c>
      <c r="D52" s="104" t="s">
        <v>111</v>
      </c>
      <c r="E52" s="7" t="s">
        <v>51</v>
      </c>
      <c r="F52" s="104" t="s">
        <v>79</v>
      </c>
      <c r="G52" s="23" t="s">
        <v>30</v>
      </c>
      <c r="H52" s="23" t="s">
        <v>40</v>
      </c>
      <c r="I52" s="104" t="s">
        <v>162</v>
      </c>
      <c r="J52" s="125">
        <v>27</v>
      </c>
      <c r="K52" s="125">
        <v>0</v>
      </c>
      <c r="L52" s="134">
        <f>EDUVIAL_2023[[#This Row],[HOMBRE]]+EDUVIAL_2023[[#This Row],[MUJER]]</f>
        <v>27</v>
      </c>
      <c r="M52" s="135">
        <v>0</v>
      </c>
      <c r="N52" s="106">
        <v>0</v>
      </c>
      <c r="O52" s="106">
        <v>0</v>
      </c>
      <c r="P52" s="106">
        <v>0</v>
      </c>
      <c r="Q52" s="106">
        <v>21</v>
      </c>
      <c r="R52" s="106">
        <v>6</v>
      </c>
      <c r="S52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27</v>
      </c>
      <c r="T52" s="120">
        <f>EDUVIAL_2023[[#This Row],[TOTAL SEXO]]</f>
        <v>27</v>
      </c>
      <c r="U52" s="119" t="s">
        <v>33</v>
      </c>
      <c r="V52" s="79" t="s">
        <v>34</v>
      </c>
      <c r="W52" s="127" t="s">
        <v>117</v>
      </c>
      <c r="X52" s="114" t="b">
        <f>EXACT(EDUVIAL_2023[[#This Row],[TOTAL SEXO]],EDUVIAL_2023[[#This Row],[TOTAL RANGOS]])</f>
        <v>1</v>
      </c>
      <c r="Y52" s="106"/>
    </row>
    <row r="53" spans="1:25" ht="43.15">
      <c r="A53" s="128">
        <v>45742</v>
      </c>
      <c r="B53" s="108" t="s">
        <v>120</v>
      </c>
      <c r="C53" s="74" t="s">
        <v>49</v>
      </c>
      <c r="D53" s="104" t="s">
        <v>111</v>
      </c>
      <c r="E53" s="7" t="s">
        <v>51</v>
      </c>
      <c r="F53" s="104" t="s">
        <v>43</v>
      </c>
      <c r="G53" s="23" t="s">
        <v>30</v>
      </c>
      <c r="H53" s="23" t="s">
        <v>172</v>
      </c>
      <c r="I53" s="104" t="s">
        <v>173</v>
      </c>
      <c r="J53" s="125">
        <v>5</v>
      </c>
      <c r="K53" s="125">
        <v>6</v>
      </c>
      <c r="L53" s="134">
        <f>EDUVIAL_2023[[#This Row],[HOMBRE]]+EDUVIAL_2023[[#This Row],[MUJER]]</f>
        <v>11</v>
      </c>
      <c r="M53" s="135">
        <v>0</v>
      </c>
      <c r="N53" s="106">
        <v>0</v>
      </c>
      <c r="O53" s="106">
        <v>0</v>
      </c>
      <c r="P53" s="106">
        <v>0</v>
      </c>
      <c r="Q53" s="106">
        <v>10</v>
      </c>
      <c r="R53" s="106">
        <v>1</v>
      </c>
      <c r="S53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11</v>
      </c>
      <c r="T53" s="120">
        <f>EDUVIAL_2023[[#This Row],[TOTAL SEXO]]</f>
        <v>11</v>
      </c>
      <c r="U53" s="106" t="s">
        <v>33</v>
      </c>
      <c r="V53" s="106" t="s">
        <v>174</v>
      </c>
      <c r="W53" s="127" t="s">
        <v>175</v>
      </c>
      <c r="X53" s="114" t="b">
        <f>EXACT(EDUVIAL_2023[[#This Row],[TOTAL SEXO]],EDUVIAL_2023[[#This Row],[TOTAL RANGOS]])</f>
        <v>1</v>
      </c>
      <c r="Y53" s="106"/>
    </row>
    <row r="54" spans="1:25" ht="43.15">
      <c r="A54" s="128">
        <v>45742</v>
      </c>
      <c r="B54" s="115" t="s">
        <v>120</v>
      </c>
      <c r="C54" s="129" t="s">
        <v>176</v>
      </c>
      <c r="D54" s="129" t="s">
        <v>177</v>
      </c>
      <c r="E54" s="7" t="s">
        <v>51</v>
      </c>
      <c r="F54" s="129"/>
      <c r="G54" s="130" t="s">
        <v>178</v>
      </c>
      <c r="H54" s="130" t="s">
        <v>179</v>
      </c>
      <c r="I54" s="129" t="s">
        <v>180</v>
      </c>
      <c r="J54" s="166">
        <v>20</v>
      </c>
      <c r="K54" s="166">
        <v>17</v>
      </c>
      <c r="L54" s="131">
        <f>EDUVIAL_2023[[#This Row],[HOMBRE]]+EDUVIAL_2023[[#This Row],[MUJER]]</f>
        <v>37</v>
      </c>
      <c r="M54" s="250">
        <v>0</v>
      </c>
      <c r="N54" s="116">
        <v>27</v>
      </c>
      <c r="O54" s="116">
        <v>0</v>
      </c>
      <c r="P54" s="116">
        <v>2</v>
      </c>
      <c r="Q54" s="116">
        <v>8</v>
      </c>
      <c r="R54" s="116">
        <v>0</v>
      </c>
      <c r="S5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37</v>
      </c>
      <c r="T54" s="132">
        <f>EDUVIAL_2023[[#This Row],[TOTAL SEXO]]</f>
        <v>37</v>
      </c>
      <c r="U54" s="116" t="s">
        <v>33</v>
      </c>
      <c r="V54" s="79" t="s">
        <v>34</v>
      </c>
      <c r="W54" s="127" t="s">
        <v>117</v>
      </c>
      <c r="X54" s="117" t="b">
        <f>EXACT(EDUVIAL_2023[[#This Row],[TOTAL SEXO]],EDUVIAL_2023[[#This Row],[TOTAL RANGOS]])</f>
        <v>1</v>
      </c>
      <c r="Y54" s="116"/>
    </row>
    <row r="55" spans="1:25" ht="28.9">
      <c r="A55" s="128">
        <v>45743</v>
      </c>
      <c r="B55" s="108" t="s">
        <v>120</v>
      </c>
      <c r="C55" s="74" t="s">
        <v>36</v>
      </c>
      <c r="D55" s="104" t="s">
        <v>77</v>
      </c>
      <c r="E55" s="121" t="s">
        <v>78</v>
      </c>
      <c r="F55" s="104" t="s">
        <v>79</v>
      </c>
      <c r="G55" s="121" t="s">
        <v>80</v>
      </c>
      <c r="H55" s="23" t="s">
        <v>40</v>
      </c>
      <c r="I55" s="104" t="s">
        <v>181</v>
      </c>
      <c r="J55" s="125">
        <v>0</v>
      </c>
      <c r="K55" s="125">
        <v>1</v>
      </c>
      <c r="L55" s="112">
        <f>EDUVIAL_2023[[#This Row],[HOMBRE]]+EDUVIAL_2023[[#This Row],[MUJER]]</f>
        <v>1</v>
      </c>
      <c r="M55" s="249">
        <v>0</v>
      </c>
      <c r="N55" s="106">
        <v>0</v>
      </c>
      <c r="O55" s="106">
        <v>0</v>
      </c>
      <c r="P55" s="106">
        <v>0</v>
      </c>
      <c r="Q55" s="106">
        <v>1</v>
      </c>
      <c r="R55" s="106">
        <v>0</v>
      </c>
      <c r="S5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55" s="120">
        <f>EDUVIAL_2023[[#This Row],[TOTAL SEXO]]</f>
        <v>1</v>
      </c>
      <c r="U55" s="116" t="s">
        <v>33</v>
      </c>
      <c r="V55" s="79" t="s">
        <v>34</v>
      </c>
      <c r="W55" s="127" t="s">
        <v>117</v>
      </c>
      <c r="X55" s="114" t="b">
        <f>EXACT(EDUVIAL_2023[[#This Row],[TOTAL SEXO]],EDUVIAL_2023[[#This Row],[TOTAL RANGOS]])</f>
        <v>1</v>
      </c>
      <c r="Y55" s="106"/>
    </row>
    <row r="56" spans="1:25">
      <c r="A56" s="128">
        <v>45743</v>
      </c>
      <c r="B56" s="108" t="s">
        <v>120</v>
      </c>
      <c r="C56" s="74" t="s">
        <v>67</v>
      </c>
      <c r="D56" s="104" t="s">
        <v>101</v>
      </c>
      <c r="E56" s="121" t="s">
        <v>182</v>
      </c>
      <c r="F56" s="104" t="s">
        <v>43</v>
      </c>
      <c r="G56" s="121" t="s">
        <v>169</v>
      </c>
      <c r="H56" s="181" t="s">
        <v>87</v>
      </c>
      <c r="I56" s="104" t="s">
        <v>72</v>
      </c>
      <c r="J56" s="125">
        <v>3</v>
      </c>
      <c r="K56" s="125">
        <v>16</v>
      </c>
      <c r="L56" s="112">
        <f>EDUVIAL_2023[[#This Row],[HOMBRE]]+EDUVIAL_2023[[#This Row],[MUJER]]</f>
        <v>19</v>
      </c>
      <c r="M56" s="249">
        <v>0</v>
      </c>
      <c r="N56" s="106">
        <v>0</v>
      </c>
      <c r="O56" s="106">
        <v>0</v>
      </c>
      <c r="P56" s="106">
        <v>0</v>
      </c>
      <c r="Q56" s="106">
        <v>17</v>
      </c>
      <c r="R56" s="106">
        <v>2</v>
      </c>
      <c r="S5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19</v>
      </c>
      <c r="T56" s="120">
        <f>EDUVIAL_2023[[#This Row],[TOTAL SEXO]]</f>
        <v>19</v>
      </c>
      <c r="U56" s="79" t="str">
        <f>VLOOKUP(EDUVIAL_2023[[#This Row],[INSTITUCIÓN O EMPRESA]],LISTAS!$J$1:$M$81,3,0)</f>
        <v>Zona 8</v>
      </c>
      <c r="V56" s="79" t="s">
        <v>74</v>
      </c>
      <c r="W56" s="126" t="str">
        <f>VLOOKUP(EDUVIAL_2023[[#This Row],[INSTITUCIÓN O EMPRESA]],LISTAS!$J$1:$M$81,2,0)</f>
        <v>6.171594, -75.591214</v>
      </c>
      <c r="X56" s="114" t="b">
        <f>EXACT(EDUVIAL_2023[[#This Row],[TOTAL SEXO]],EDUVIAL_2023[[#This Row],[TOTAL RANGOS]])</f>
        <v>1</v>
      </c>
      <c r="Y56" s="106"/>
    </row>
    <row r="57" spans="1:25" ht="28.9">
      <c r="A57" s="128">
        <v>45743</v>
      </c>
      <c r="B57" s="108" t="s">
        <v>120</v>
      </c>
      <c r="C57" s="74" t="s">
        <v>36</v>
      </c>
      <c r="D57" s="6" t="s">
        <v>37</v>
      </c>
      <c r="E57" s="121" t="s">
        <v>38</v>
      </c>
      <c r="F57" s="104" t="s">
        <v>43</v>
      </c>
      <c r="G57" s="23" t="s">
        <v>39</v>
      </c>
      <c r="H57" s="23" t="s">
        <v>40</v>
      </c>
      <c r="I57" s="104" t="s">
        <v>183</v>
      </c>
      <c r="J57" s="125">
        <v>1</v>
      </c>
      <c r="K57" s="125">
        <v>0</v>
      </c>
      <c r="L57" s="112">
        <f>EDUVIAL_2023[[#This Row],[HOMBRE]]+EDUVIAL_2023[[#This Row],[MUJER]]</f>
        <v>1</v>
      </c>
      <c r="M57" s="249">
        <v>0</v>
      </c>
      <c r="N57" s="106">
        <v>0</v>
      </c>
      <c r="O57" s="106">
        <v>0</v>
      </c>
      <c r="P57" s="106">
        <v>0</v>
      </c>
      <c r="Q57" s="106">
        <v>1</v>
      </c>
      <c r="R57" s="106">
        <v>0</v>
      </c>
      <c r="S5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57" s="120">
        <f>EDUVIAL_2023[[#This Row],[TOTAL SEXO]]</f>
        <v>1</v>
      </c>
      <c r="U57" s="116" t="s">
        <v>33</v>
      </c>
      <c r="V57" s="79" t="s">
        <v>34</v>
      </c>
      <c r="W57" s="127" t="s">
        <v>117</v>
      </c>
      <c r="X57" s="114" t="b">
        <f>EXACT(EDUVIAL_2023[[#This Row],[TOTAL SEXO]],EDUVIAL_2023[[#This Row],[TOTAL RANGOS]])</f>
        <v>1</v>
      </c>
      <c r="Y57" s="106"/>
    </row>
    <row r="58" spans="1:25">
      <c r="A58" s="128">
        <v>45744</v>
      </c>
      <c r="B58" s="108" t="s">
        <v>120</v>
      </c>
      <c r="C58" s="74" t="s">
        <v>67</v>
      </c>
      <c r="D58" s="104" t="s">
        <v>101</v>
      </c>
      <c r="E58" s="121" t="s">
        <v>182</v>
      </c>
      <c r="F58" s="104" t="s">
        <v>79</v>
      </c>
      <c r="G58" s="121" t="s">
        <v>169</v>
      </c>
      <c r="H58" s="121" t="s">
        <v>154</v>
      </c>
      <c r="I58" s="104" t="s">
        <v>155</v>
      </c>
      <c r="J58" s="125">
        <v>5</v>
      </c>
      <c r="K58" s="125">
        <v>19</v>
      </c>
      <c r="L58" s="112">
        <f>EDUVIAL_2023[[#This Row],[HOMBRE]]+EDUVIAL_2023[[#This Row],[MUJER]]</f>
        <v>24</v>
      </c>
      <c r="M58" s="249">
        <v>0</v>
      </c>
      <c r="N58" s="106">
        <v>0</v>
      </c>
      <c r="O58" s="106">
        <v>0</v>
      </c>
      <c r="P58" s="106">
        <v>1</v>
      </c>
      <c r="Q58" s="106">
        <v>21</v>
      </c>
      <c r="R58" s="106">
        <v>2</v>
      </c>
      <c r="S58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24</v>
      </c>
      <c r="T58" s="120">
        <f>EDUVIAL_2023[[#This Row],[TOTAL SEXO]]</f>
        <v>24</v>
      </c>
      <c r="U58" s="106" t="s">
        <v>184</v>
      </c>
      <c r="V58" s="106" t="str">
        <f>VLOOKUP(EDUVIAL_2023[[#This Row],[INSTITUCIÓN O EMPRESA]],LISTAS!$J$1:$M$85,4,0)</f>
        <v>San Rafael</v>
      </c>
      <c r="W58" s="127" t="s">
        <v>158</v>
      </c>
      <c r="X58" s="114" t="b">
        <f>EXACT(EDUVIAL_2023[[#This Row],[TOTAL SEXO]],EDUVIAL_2023[[#This Row],[TOTAL RANGOS]])</f>
        <v>1</v>
      </c>
      <c r="Y58" s="106"/>
    </row>
    <row r="59" spans="1:25">
      <c r="A59" s="128">
        <v>45744</v>
      </c>
      <c r="B59" s="108" t="s">
        <v>120</v>
      </c>
      <c r="C59" s="74" t="s">
        <v>67</v>
      </c>
      <c r="D59" s="104" t="s">
        <v>185</v>
      </c>
      <c r="E59" s="121" t="s">
        <v>186</v>
      </c>
      <c r="F59" s="104" t="s">
        <v>43</v>
      </c>
      <c r="G59" s="121" t="s">
        <v>187</v>
      </c>
      <c r="H59" s="196" t="s">
        <v>188</v>
      </c>
      <c r="I59" s="104" t="s">
        <v>189</v>
      </c>
      <c r="J59" s="125">
        <v>4</v>
      </c>
      <c r="K59" s="125">
        <v>5</v>
      </c>
      <c r="L59" s="112">
        <f>EDUVIAL_2023[[#This Row],[HOMBRE]]+EDUVIAL_2023[[#This Row],[MUJER]]</f>
        <v>9</v>
      </c>
      <c r="M59" s="249">
        <v>0</v>
      </c>
      <c r="N59" s="106">
        <v>0</v>
      </c>
      <c r="O59" s="106">
        <v>5</v>
      </c>
      <c r="P59" s="106">
        <v>3</v>
      </c>
      <c r="Q59" s="106">
        <v>1</v>
      </c>
      <c r="R59" s="106">
        <v>0</v>
      </c>
      <c r="S59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9</v>
      </c>
      <c r="T59" s="120">
        <f>EDUVIAL_2023[[#This Row],[TOTAL SEXO]]</f>
        <v>9</v>
      </c>
      <c r="U59" s="116" t="s">
        <v>33</v>
      </c>
      <c r="V59" s="79" t="s">
        <v>34</v>
      </c>
      <c r="W59" s="127" t="s">
        <v>117</v>
      </c>
      <c r="X59" s="114" t="b">
        <f>EXACT(EDUVIAL_2023[[#This Row],[TOTAL SEXO]],EDUVIAL_2023[[#This Row],[TOTAL RANGOS]])</f>
        <v>1</v>
      </c>
      <c r="Y59" s="106"/>
    </row>
    <row r="60" spans="1:25">
      <c r="A60" s="128">
        <v>45744</v>
      </c>
      <c r="B60" s="108" t="s">
        <v>120</v>
      </c>
      <c r="C60" s="104" t="s">
        <v>106</v>
      </c>
      <c r="D60" s="104" t="s">
        <v>101</v>
      </c>
      <c r="E60" s="121" t="s">
        <v>182</v>
      </c>
      <c r="F60" s="104" t="s">
        <v>43</v>
      </c>
      <c r="G60" s="121" t="s">
        <v>190</v>
      </c>
      <c r="H60" s="23" t="s">
        <v>40</v>
      </c>
      <c r="I60" s="104" t="s">
        <v>43</v>
      </c>
      <c r="J60" s="125">
        <v>2</v>
      </c>
      <c r="K60" s="125">
        <v>27</v>
      </c>
      <c r="L60" s="112">
        <f>EDUVIAL_2023[[#This Row],[HOMBRE]]+EDUVIAL_2023[[#This Row],[MUJER]]</f>
        <v>29</v>
      </c>
      <c r="M60" s="249">
        <v>0</v>
      </c>
      <c r="N60" s="106">
        <v>0</v>
      </c>
      <c r="O60" s="106">
        <v>1</v>
      </c>
      <c r="P60" s="106">
        <v>4</v>
      </c>
      <c r="Q60" s="106">
        <v>18</v>
      </c>
      <c r="R60" s="106">
        <v>6</v>
      </c>
      <c r="S60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29</v>
      </c>
      <c r="T60" s="120">
        <f>EDUVIAL_2023[[#This Row],[TOTAL SEXO]]</f>
        <v>29</v>
      </c>
      <c r="U60" s="106" t="s">
        <v>55</v>
      </c>
      <c r="V60" s="106" t="s">
        <v>191</v>
      </c>
      <c r="W60" s="127" t="s">
        <v>192</v>
      </c>
      <c r="X60" s="114" t="b">
        <f>EXACT(EDUVIAL_2023[[#This Row],[TOTAL SEXO]],EDUVIAL_2023[[#This Row],[TOTAL RANGOS]])</f>
        <v>1</v>
      </c>
      <c r="Y60" s="106"/>
    </row>
    <row r="61" spans="1:25" ht="43.15">
      <c r="A61" s="128">
        <v>45745</v>
      </c>
      <c r="B61" s="108" t="s">
        <v>120</v>
      </c>
      <c r="C61" s="74" t="s">
        <v>67</v>
      </c>
      <c r="D61" s="104" t="s">
        <v>193</v>
      </c>
      <c r="E61" s="7" t="s">
        <v>51</v>
      </c>
      <c r="F61" s="104" t="s">
        <v>79</v>
      </c>
      <c r="G61" s="121" t="s">
        <v>194</v>
      </c>
      <c r="H61" s="121" t="s">
        <v>118</v>
      </c>
      <c r="I61" s="104" t="s">
        <v>92</v>
      </c>
      <c r="J61" s="125">
        <v>10</v>
      </c>
      <c r="K61" s="125">
        <v>13</v>
      </c>
      <c r="L61" s="112">
        <f>EDUVIAL_2023[[#This Row],[HOMBRE]]+EDUVIAL_2023[[#This Row],[MUJER]]</f>
        <v>23</v>
      </c>
      <c r="M61" s="249">
        <v>0</v>
      </c>
      <c r="N61" s="106">
        <v>0</v>
      </c>
      <c r="O61" s="106">
        <v>0</v>
      </c>
      <c r="P61" s="106">
        <v>0</v>
      </c>
      <c r="Q61" s="106">
        <v>23</v>
      </c>
      <c r="R61" s="106">
        <v>0</v>
      </c>
      <c r="S61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23</v>
      </c>
      <c r="T61" s="120">
        <f>EDUVIAL_2023[[#This Row],[TOTAL SEXO]]</f>
        <v>23</v>
      </c>
      <c r="U61" s="106" t="s">
        <v>195</v>
      </c>
      <c r="V61" s="119" t="s">
        <v>196</v>
      </c>
      <c r="W61" s="127" t="s">
        <v>197</v>
      </c>
      <c r="X61" s="114" t="b">
        <f>EXACT(EDUVIAL_2023[[#This Row],[TOTAL SEXO]],EDUVIAL_2023[[#This Row],[TOTAL RANGOS]])</f>
        <v>1</v>
      </c>
      <c r="Y61" s="106"/>
    </row>
    <row r="62" spans="1:25" ht="43.15">
      <c r="A62" s="128">
        <v>45745</v>
      </c>
      <c r="B62" s="108" t="s">
        <v>120</v>
      </c>
      <c r="C62" s="74" t="s">
        <v>67</v>
      </c>
      <c r="D62" s="104" t="s">
        <v>193</v>
      </c>
      <c r="E62" s="7" t="s">
        <v>51</v>
      </c>
      <c r="F62" s="104" t="s">
        <v>43</v>
      </c>
      <c r="G62" s="121" t="s">
        <v>194</v>
      </c>
      <c r="H62" s="196" t="s">
        <v>161</v>
      </c>
      <c r="I62" s="104" t="s">
        <v>162</v>
      </c>
      <c r="J62" s="125">
        <v>7</v>
      </c>
      <c r="K62" s="125">
        <v>26</v>
      </c>
      <c r="L62" s="112">
        <f>EDUVIAL_2023[[#This Row],[HOMBRE]]+EDUVIAL_2023[[#This Row],[MUJER]]</f>
        <v>33</v>
      </c>
      <c r="M62" s="249">
        <v>0</v>
      </c>
      <c r="N62" s="106">
        <v>0</v>
      </c>
      <c r="O62" s="106">
        <v>0</v>
      </c>
      <c r="P62" s="106">
        <v>1</v>
      </c>
      <c r="Q62" s="106">
        <v>29</v>
      </c>
      <c r="R62" s="106">
        <v>3</v>
      </c>
      <c r="S62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33</v>
      </c>
      <c r="T62" s="120">
        <f>EDUVIAL_2023[[#This Row],[TOTAL SEXO]]</f>
        <v>33</v>
      </c>
      <c r="U62" s="106" t="s">
        <v>132</v>
      </c>
      <c r="V62" s="119" t="s">
        <v>163</v>
      </c>
      <c r="W62" s="127" t="s">
        <v>164</v>
      </c>
      <c r="X62" s="114" t="b">
        <f>EXACT(EDUVIAL_2023[[#This Row],[TOTAL SEXO]],EDUVIAL_2023[[#This Row],[TOTAL RANGOS]])</f>
        <v>1</v>
      </c>
      <c r="Y62" s="106"/>
    </row>
    <row r="63" spans="1:25" ht="28.9">
      <c r="A63" s="128">
        <v>45749</v>
      </c>
      <c r="B63" s="108" t="s">
        <v>198</v>
      </c>
      <c r="C63" s="74" t="s">
        <v>36</v>
      </c>
      <c r="D63" s="6" t="s">
        <v>37</v>
      </c>
      <c r="E63" s="121" t="s">
        <v>38</v>
      </c>
      <c r="F63" s="104" t="s">
        <v>43</v>
      </c>
      <c r="G63" s="23" t="s">
        <v>39</v>
      </c>
      <c r="H63" s="23" t="s">
        <v>40</v>
      </c>
      <c r="I63" s="104" t="s">
        <v>199</v>
      </c>
      <c r="J63" s="125">
        <v>1</v>
      </c>
      <c r="K63" s="125">
        <v>0</v>
      </c>
      <c r="L63" s="112">
        <f>EDUVIAL_2023[[#This Row],[HOMBRE]]+EDUVIAL_2023[[#This Row],[MUJER]]</f>
        <v>1</v>
      </c>
      <c r="M63" s="249">
        <v>0</v>
      </c>
      <c r="N63" s="106">
        <v>0</v>
      </c>
      <c r="O63" s="106">
        <v>0</v>
      </c>
      <c r="P63" s="106">
        <v>0</v>
      </c>
      <c r="Q63" s="106">
        <v>1</v>
      </c>
      <c r="R63" s="106">
        <v>0</v>
      </c>
      <c r="S63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63" s="120">
        <f>EDUVIAL_2023[[#This Row],[TOTAL SEXO]]</f>
        <v>1</v>
      </c>
      <c r="U63" s="106" t="s">
        <v>33</v>
      </c>
      <c r="V63" s="79" t="s">
        <v>34</v>
      </c>
      <c r="W63" s="127" t="s">
        <v>117</v>
      </c>
      <c r="X63" s="114" t="b">
        <f>EXACT(EDUVIAL_2023[[#This Row],[TOTAL SEXO]],EDUVIAL_2023[[#This Row],[TOTAL RANGOS]])</f>
        <v>1</v>
      </c>
      <c r="Y63" s="106"/>
    </row>
    <row r="64" spans="1:25" ht="43.15">
      <c r="A64" s="128">
        <v>45750</v>
      </c>
      <c r="B64" s="108" t="s">
        <v>198</v>
      </c>
      <c r="C64" s="74" t="s">
        <v>67</v>
      </c>
      <c r="D64" s="104" t="s">
        <v>193</v>
      </c>
      <c r="E64" s="7" t="s">
        <v>51</v>
      </c>
      <c r="F64" s="104" t="s">
        <v>43</v>
      </c>
      <c r="G64" s="121" t="s">
        <v>194</v>
      </c>
      <c r="H64" s="196" t="s">
        <v>144</v>
      </c>
      <c r="I64" s="104" t="s">
        <v>200</v>
      </c>
      <c r="J64" s="125">
        <v>8</v>
      </c>
      <c r="K64" s="125">
        <v>9</v>
      </c>
      <c r="L64" s="112">
        <f>EDUVIAL_2023[[#This Row],[HOMBRE]]+EDUVIAL_2023[[#This Row],[MUJER]]</f>
        <v>17</v>
      </c>
      <c r="M64" s="249">
        <v>0</v>
      </c>
      <c r="N64" s="106">
        <v>0</v>
      </c>
      <c r="O64" s="106">
        <v>0</v>
      </c>
      <c r="P64" s="106">
        <v>1</v>
      </c>
      <c r="Q64" s="106">
        <v>16</v>
      </c>
      <c r="R64" s="106">
        <v>0</v>
      </c>
      <c r="S6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17</v>
      </c>
      <c r="T64" s="120">
        <f>EDUVIAL_2023[[#This Row],[TOTAL SEXO]]</f>
        <v>17</v>
      </c>
      <c r="U64" s="106" t="s">
        <v>145</v>
      </c>
      <c r="V64" s="126" t="s">
        <v>146</v>
      </c>
      <c r="W64" s="127" t="s">
        <v>147</v>
      </c>
      <c r="X64" s="114" t="b">
        <f>EXACT(EDUVIAL_2023[[#This Row],[TOTAL SEXO]],EDUVIAL_2023[[#This Row],[TOTAL RANGOS]])</f>
        <v>1</v>
      </c>
      <c r="Y64" s="106"/>
    </row>
    <row r="65" spans="1:25" ht="43.15">
      <c r="A65" s="128">
        <v>45756</v>
      </c>
      <c r="B65" s="108" t="s">
        <v>198</v>
      </c>
      <c r="C65" s="74" t="s">
        <v>67</v>
      </c>
      <c r="D65" s="104" t="s">
        <v>201</v>
      </c>
      <c r="E65" s="7" t="s">
        <v>51</v>
      </c>
      <c r="F65" s="104" t="s">
        <v>43</v>
      </c>
      <c r="G65" s="121" t="s">
        <v>202</v>
      </c>
      <c r="H65" s="121" t="s">
        <v>203</v>
      </c>
      <c r="I65" s="104" t="s">
        <v>204</v>
      </c>
      <c r="J65" s="125">
        <v>9</v>
      </c>
      <c r="K65" s="125">
        <v>19</v>
      </c>
      <c r="L65" s="112">
        <f>EDUVIAL_2023[[#This Row],[HOMBRE]]+EDUVIAL_2023[[#This Row],[MUJER]]</f>
        <v>28</v>
      </c>
      <c r="M65" s="249">
        <v>0</v>
      </c>
      <c r="N65" s="106">
        <v>0</v>
      </c>
      <c r="O65" s="106">
        <v>0</v>
      </c>
      <c r="P65" s="106">
        <v>8</v>
      </c>
      <c r="Q65" s="106">
        <v>20</v>
      </c>
      <c r="R65" s="106">
        <v>0</v>
      </c>
      <c r="S6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28</v>
      </c>
      <c r="T65" s="120">
        <f>EDUVIAL_2023[[#This Row],[TOTAL SEXO]]</f>
        <v>28</v>
      </c>
      <c r="U65" s="106" t="s">
        <v>205</v>
      </c>
      <c r="V65" s="106" t="s">
        <v>206</v>
      </c>
      <c r="W65" s="127" t="s">
        <v>207</v>
      </c>
      <c r="X65" s="114" t="b">
        <f>EXACT(EDUVIAL_2023[[#This Row],[TOTAL SEXO]],EDUVIAL_2023[[#This Row],[TOTAL RANGOS]])</f>
        <v>1</v>
      </c>
      <c r="Y65" s="106"/>
    </row>
    <row r="66" spans="1:25" ht="43.15">
      <c r="A66" s="128">
        <v>45757</v>
      </c>
      <c r="B66" s="108" t="s">
        <v>198</v>
      </c>
      <c r="C66" s="74" t="s">
        <v>49</v>
      </c>
      <c r="D66" s="6" t="s">
        <v>50</v>
      </c>
      <c r="E66" s="7" t="s">
        <v>51</v>
      </c>
      <c r="F66" s="104" t="s">
        <v>43</v>
      </c>
      <c r="G66" s="121" t="s">
        <v>208</v>
      </c>
      <c r="H66" s="121" t="s">
        <v>96</v>
      </c>
      <c r="I66" s="104" t="s">
        <v>209</v>
      </c>
      <c r="J66" s="125">
        <v>31</v>
      </c>
      <c r="K66" s="125">
        <v>26</v>
      </c>
      <c r="L66" s="112">
        <f>EDUVIAL_2023[[#This Row],[HOMBRE]]+EDUVIAL_2023[[#This Row],[MUJER]]</f>
        <v>57</v>
      </c>
      <c r="M66" s="249">
        <v>0</v>
      </c>
      <c r="N66" s="106">
        <v>0</v>
      </c>
      <c r="O66" s="106">
        <v>0</v>
      </c>
      <c r="P66" s="106">
        <v>8</v>
      </c>
      <c r="Q66" s="106">
        <v>48</v>
      </c>
      <c r="R66" s="106">
        <v>1</v>
      </c>
      <c r="S6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57</v>
      </c>
      <c r="T66" s="120">
        <f>EDUVIAL_2023[[#This Row],[TOTAL SEXO]]</f>
        <v>57</v>
      </c>
      <c r="U66" s="106" t="s">
        <v>73</v>
      </c>
      <c r="V66" s="106" t="s">
        <v>210</v>
      </c>
      <c r="W66" s="127" t="s">
        <v>211</v>
      </c>
      <c r="X66" s="114" t="b">
        <f>EXACT(EDUVIAL_2023[[#This Row],[TOTAL SEXO]],EDUVIAL_2023[[#This Row],[TOTAL RANGOS]])</f>
        <v>1</v>
      </c>
      <c r="Y66" s="106"/>
    </row>
    <row r="67" spans="1:25" ht="43.15">
      <c r="A67" s="128">
        <v>45758</v>
      </c>
      <c r="B67" s="108" t="s">
        <v>198</v>
      </c>
      <c r="C67" s="74" t="s">
        <v>67</v>
      </c>
      <c r="D67" s="104" t="s">
        <v>101</v>
      </c>
      <c r="E67" s="7" t="s">
        <v>51</v>
      </c>
      <c r="F67" s="104" t="s">
        <v>79</v>
      </c>
      <c r="G67" s="23" t="s">
        <v>114</v>
      </c>
      <c r="H67" s="181" t="s">
        <v>75</v>
      </c>
      <c r="I67" s="104" t="s">
        <v>212</v>
      </c>
      <c r="J67" s="125">
        <v>50</v>
      </c>
      <c r="K67" s="125">
        <v>130</v>
      </c>
      <c r="L67" s="112">
        <f>EDUVIAL_2023[[#This Row],[HOMBRE]]+EDUVIAL_2023[[#This Row],[MUJER]]</f>
        <v>180</v>
      </c>
      <c r="M67" s="249">
        <v>0</v>
      </c>
      <c r="N67" s="106">
        <v>0</v>
      </c>
      <c r="O67" s="106">
        <v>0</v>
      </c>
      <c r="P67" s="106">
        <v>30</v>
      </c>
      <c r="Q67" s="106">
        <v>120</v>
      </c>
      <c r="R67" s="106">
        <v>30</v>
      </c>
      <c r="S6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180</v>
      </c>
      <c r="T67" s="120">
        <f>EDUVIAL_2023[[#This Row],[TOTAL SEXO]]</f>
        <v>180</v>
      </c>
      <c r="U67" s="79" t="str">
        <f>VLOOKUP(EDUVIAL_2023[[#This Row],[INSTITUCIÓN O EMPRESA]],LISTAS!$J$1:$M$81,3,0)</f>
        <v>Zona 7</v>
      </c>
      <c r="V67" s="79" t="str">
        <f>VLOOKUP(EDUVIAL_2023[[#This Row],[INSTITUCIÓN O EMPRESA]],LISTAS!$J$1:$M$81,4,0)</f>
        <v>La Paz</v>
      </c>
      <c r="W67" s="126" t="str">
        <f>VLOOKUP(EDUVIAL_2023[[#This Row],[INSTITUCIÓN O EMPRESA]],LISTAS!$J$1:$M$81,2,0)</f>
        <v>6.162272, -75.594035</v>
      </c>
      <c r="X67" s="114" t="b">
        <f>EXACT(EDUVIAL_2023[[#This Row],[TOTAL SEXO]],EDUVIAL_2023[[#This Row],[TOTAL RANGOS]])</f>
        <v>1</v>
      </c>
      <c r="Y67" s="106"/>
    </row>
    <row r="68" spans="1:25" ht="43.15">
      <c r="A68" s="128">
        <v>45758</v>
      </c>
      <c r="B68" s="108" t="s">
        <v>198</v>
      </c>
      <c r="C68" s="74" t="s">
        <v>67</v>
      </c>
      <c r="D68" s="104" t="s">
        <v>213</v>
      </c>
      <c r="E68" s="7" t="s">
        <v>51</v>
      </c>
      <c r="F68" s="104" t="s">
        <v>43</v>
      </c>
      <c r="G68" s="121" t="s">
        <v>214</v>
      </c>
      <c r="H68" s="121" t="s">
        <v>215</v>
      </c>
      <c r="I68" s="104" t="s">
        <v>216</v>
      </c>
      <c r="J68" s="125">
        <v>2</v>
      </c>
      <c r="K68" s="125">
        <v>15</v>
      </c>
      <c r="L68" s="112">
        <f>EDUVIAL_2023[[#This Row],[HOMBRE]]+EDUVIAL_2023[[#This Row],[MUJER]]</f>
        <v>17</v>
      </c>
      <c r="M68" s="249">
        <v>0</v>
      </c>
      <c r="N68" s="106">
        <v>17</v>
      </c>
      <c r="O68" s="106">
        <v>0</v>
      </c>
      <c r="P68" s="106">
        <v>0</v>
      </c>
      <c r="Q68" s="106">
        <v>0</v>
      </c>
      <c r="R68" s="106">
        <v>0</v>
      </c>
      <c r="S68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17</v>
      </c>
      <c r="T68" s="120">
        <f>EDUVIAL_2023[[#This Row],[TOTAL SEXO]]</f>
        <v>17</v>
      </c>
      <c r="U68" s="106" t="s">
        <v>33</v>
      </c>
      <c r="V68" s="79" t="s">
        <v>34</v>
      </c>
      <c r="W68" s="127" t="s">
        <v>117</v>
      </c>
      <c r="X68" s="114" t="b">
        <f>EXACT(EDUVIAL_2023[[#This Row],[TOTAL SEXO]],EDUVIAL_2023[[#This Row],[TOTAL RANGOS]])</f>
        <v>1</v>
      </c>
      <c r="Y68" s="106"/>
    </row>
    <row r="69" spans="1:25">
      <c r="A69" s="128">
        <v>45760</v>
      </c>
      <c r="B69" s="108" t="s">
        <v>198</v>
      </c>
      <c r="C69" s="74" t="s">
        <v>106</v>
      </c>
      <c r="D69" s="182" t="s">
        <v>217</v>
      </c>
      <c r="E69" s="7" t="s">
        <v>218</v>
      </c>
      <c r="F69" s="104" t="s">
        <v>43</v>
      </c>
      <c r="G69" s="23" t="s">
        <v>219</v>
      </c>
      <c r="H69" s="23" t="s">
        <v>40</v>
      </c>
      <c r="I69" s="104" t="s">
        <v>43</v>
      </c>
      <c r="J69" s="125">
        <v>0</v>
      </c>
      <c r="K69" s="125">
        <v>0</v>
      </c>
      <c r="L69" s="112">
        <f>EDUVIAL_2023[[#This Row],[HOMBRE]]+EDUVIAL_2023[[#This Row],[MUJER]]</f>
        <v>0</v>
      </c>
      <c r="M69" s="249">
        <v>0</v>
      </c>
      <c r="N69" s="106">
        <v>0</v>
      </c>
      <c r="O69" s="106">
        <v>0</v>
      </c>
      <c r="P69" s="106">
        <v>0</v>
      </c>
      <c r="Q69" s="106">
        <v>0</v>
      </c>
      <c r="R69" s="106">
        <v>0</v>
      </c>
      <c r="S69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0</v>
      </c>
      <c r="T69" s="120">
        <f>EDUVIAL_2023[[#This Row],[TOTAL SEXO]]</f>
        <v>0</v>
      </c>
      <c r="U69" s="106" t="s">
        <v>33</v>
      </c>
      <c r="V69" s="79" t="s">
        <v>34</v>
      </c>
      <c r="W69" s="127" t="s">
        <v>117</v>
      </c>
      <c r="X69" s="114" t="b">
        <f>EXACT(EDUVIAL_2023[[#This Row],[TOTAL SEXO]],EDUVIAL_2023[[#This Row],[TOTAL RANGOS]])</f>
        <v>1</v>
      </c>
      <c r="Y69" s="106"/>
    </row>
    <row r="70" spans="1:25" ht="43.15">
      <c r="A70" s="128">
        <v>45761</v>
      </c>
      <c r="B70" s="108" t="s">
        <v>198</v>
      </c>
      <c r="C70" s="74" t="s">
        <v>36</v>
      </c>
      <c r="D70" s="104" t="s">
        <v>220</v>
      </c>
      <c r="E70" s="7" t="s">
        <v>51</v>
      </c>
      <c r="F70" s="104" t="s">
        <v>43</v>
      </c>
      <c r="G70" s="23" t="s">
        <v>30</v>
      </c>
      <c r="H70" s="23" t="s">
        <v>40</v>
      </c>
      <c r="I70" s="104" t="s">
        <v>43</v>
      </c>
      <c r="J70" s="125">
        <v>45</v>
      </c>
      <c r="K70" s="125">
        <v>35</v>
      </c>
      <c r="L70" s="112">
        <f>EDUVIAL_2023[[#This Row],[HOMBRE]]+EDUVIAL_2023[[#This Row],[MUJER]]</f>
        <v>80</v>
      </c>
      <c r="M70" s="249">
        <v>0</v>
      </c>
      <c r="N70" s="106">
        <v>0</v>
      </c>
      <c r="O70" s="106">
        <v>20</v>
      </c>
      <c r="P70" s="106">
        <v>10</v>
      </c>
      <c r="Q70" s="106">
        <v>20</v>
      </c>
      <c r="R70" s="106">
        <v>30</v>
      </c>
      <c r="S70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80</v>
      </c>
      <c r="T70" s="120">
        <f>EDUVIAL_2023[[#This Row],[TOTAL SEXO]]</f>
        <v>80</v>
      </c>
      <c r="U70" s="106" t="s">
        <v>33</v>
      </c>
      <c r="V70" s="79" t="s">
        <v>34</v>
      </c>
      <c r="W70" s="127" t="s">
        <v>117</v>
      </c>
      <c r="X70" s="114" t="b">
        <f>EXACT(EDUVIAL_2023[[#This Row],[TOTAL SEXO]],EDUVIAL_2023[[#This Row],[TOTAL RANGOS]])</f>
        <v>1</v>
      </c>
      <c r="Y70" s="106"/>
    </row>
    <row r="71" spans="1:25">
      <c r="A71" s="128">
        <v>45763</v>
      </c>
      <c r="B71" s="108" t="s">
        <v>198</v>
      </c>
      <c r="C71" s="74" t="s">
        <v>106</v>
      </c>
      <c r="D71" s="182" t="s">
        <v>217</v>
      </c>
      <c r="E71" s="7" t="s">
        <v>218</v>
      </c>
      <c r="F71" s="104" t="s">
        <v>43</v>
      </c>
      <c r="G71" s="23" t="s">
        <v>221</v>
      </c>
      <c r="H71" s="23" t="s">
        <v>40</v>
      </c>
      <c r="I71" s="104" t="s">
        <v>43</v>
      </c>
      <c r="J71" s="125">
        <v>0</v>
      </c>
      <c r="K71" s="125">
        <v>0</v>
      </c>
      <c r="L71" s="112">
        <f>EDUVIAL_2023[[#This Row],[HOMBRE]]+EDUVIAL_2023[[#This Row],[MUJER]]</f>
        <v>0</v>
      </c>
      <c r="M71" s="249">
        <v>0</v>
      </c>
      <c r="N71" s="106">
        <v>0</v>
      </c>
      <c r="O71" s="106">
        <v>0</v>
      </c>
      <c r="P71" s="106">
        <v>0</v>
      </c>
      <c r="Q71" s="106">
        <v>0</v>
      </c>
      <c r="R71" s="106">
        <v>0</v>
      </c>
      <c r="S71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0</v>
      </c>
      <c r="T71" s="120">
        <f>EDUVIAL_2023[[#This Row],[TOTAL SEXO]]</f>
        <v>0</v>
      </c>
      <c r="U71" s="106" t="s">
        <v>156</v>
      </c>
      <c r="V71" s="162" t="s">
        <v>222</v>
      </c>
      <c r="W71" s="127" t="s">
        <v>223</v>
      </c>
      <c r="X71" s="114" t="b">
        <f>EXACT(EDUVIAL_2023[[#This Row],[TOTAL SEXO]],EDUVIAL_2023[[#This Row],[TOTAL RANGOS]])</f>
        <v>1</v>
      </c>
      <c r="Y71" s="106"/>
    </row>
    <row r="72" spans="1:25">
      <c r="A72" s="128">
        <v>45765</v>
      </c>
      <c r="B72" s="108" t="s">
        <v>198</v>
      </c>
      <c r="C72" s="74" t="s">
        <v>106</v>
      </c>
      <c r="D72" s="182" t="s">
        <v>217</v>
      </c>
      <c r="E72" s="7" t="s">
        <v>218</v>
      </c>
      <c r="F72" s="104" t="s">
        <v>43</v>
      </c>
      <c r="G72" s="121" t="s">
        <v>224</v>
      </c>
      <c r="H72" s="23" t="s">
        <v>40</v>
      </c>
      <c r="I72" s="104" t="s">
        <v>43</v>
      </c>
      <c r="J72" s="125">
        <v>0</v>
      </c>
      <c r="K72" s="125">
        <v>0</v>
      </c>
      <c r="L72" s="112">
        <f>EDUVIAL_2023[[#This Row],[HOMBRE]]+EDUVIAL_2023[[#This Row],[MUJER]]</f>
        <v>0</v>
      </c>
      <c r="M72" s="249">
        <v>0</v>
      </c>
      <c r="N72" s="106">
        <v>0</v>
      </c>
      <c r="O72" s="106">
        <v>0</v>
      </c>
      <c r="P72" s="106">
        <v>0</v>
      </c>
      <c r="Q72" s="106">
        <v>0</v>
      </c>
      <c r="R72" s="106">
        <v>0</v>
      </c>
      <c r="S72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0</v>
      </c>
      <c r="T72" s="120">
        <f>EDUVIAL_2023[[#This Row],[TOTAL SEXO]]</f>
        <v>0</v>
      </c>
      <c r="U72" s="106" t="s">
        <v>33</v>
      </c>
      <c r="V72" s="79" t="s">
        <v>34</v>
      </c>
      <c r="W72" s="127" t="s">
        <v>117</v>
      </c>
      <c r="X72" s="114" t="b">
        <f>EXACT(EDUVIAL_2023[[#This Row],[TOTAL SEXO]],EDUVIAL_2023[[#This Row],[TOTAL RANGOS]])</f>
        <v>1</v>
      </c>
      <c r="Y72" s="106"/>
    </row>
    <row r="73" spans="1:25">
      <c r="A73" s="128">
        <v>45767</v>
      </c>
      <c r="B73" s="108" t="s">
        <v>198</v>
      </c>
      <c r="C73" s="74" t="s">
        <v>106</v>
      </c>
      <c r="D73" s="182" t="s">
        <v>217</v>
      </c>
      <c r="E73" s="7" t="s">
        <v>218</v>
      </c>
      <c r="F73" s="104" t="s">
        <v>43</v>
      </c>
      <c r="G73" s="121" t="s">
        <v>225</v>
      </c>
      <c r="H73" s="23" t="s">
        <v>40</v>
      </c>
      <c r="I73" s="104" t="s">
        <v>43</v>
      </c>
      <c r="J73" s="125">
        <v>0</v>
      </c>
      <c r="K73" s="125">
        <v>0</v>
      </c>
      <c r="L73" s="112">
        <f>EDUVIAL_2023[[#This Row],[HOMBRE]]+EDUVIAL_2023[[#This Row],[MUJER]]</f>
        <v>0</v>
      </c>
      <c r="M73" s="249">
        <v>0</v>
      </c>
      <c r="N73" s="106">
        <v>0</v>
      </c>
      <c r="O73" s="106">
        <v>0</v>
      </c>
      <c r="P73" s="106">
        <v>0</v>
      </c>
      <c r="Q73" s="106">
        <v>0</v>
      </c>
      <c r="R73" s="106">
        <v>0</v>
      </c>
      <c r="S73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0</v>
      </c>
      <c r="T73" s="120">
        <f>EDUVIAL_2023[[#This Row],[TOTAL SEXO]]</f>
        <v>0</v>
      </c>
      <c r="U73" s="106" t="s">
        <v>33</v>
      </c>
      <c r="V73" s="79" t="s">
        <v>34</v>
      </c>
      <c r="W73" s="127" t="s">
        <v>117</v>
      </c>
      <c r="X73" s="114" t="b">
        <f>EXACT(EDUVIAL_2023[[#This Row],[TOTAL SEXO]],EDUVIAL_2023[[#This Row],[TOTAL RANGOS]])</f>
        <v>1</v>
      </c>
      <c r="Y73" s="106"/>
    </row>
    <row r="74" spans="1:25" ht="28.9">
      <c r="A74" s="128">
        <v>45768</v>
      </c>
      <c r="B74" s="108" t="s">
        <v>198</v>
      </c>
      <c r="C74" s="74" t="s">
        <v>67</v>
      </c>
      <c r="D74" s="6" t="s">
        <v>226</v>
      </c>
      <c r="E74" s="7" t="s">
        <v>227</v>
      </c>
      <c r="F74" s="104" t="s">
        <v>43</v>
      </c>
      <c r="G74" s="121" t="s">
        <v>228</v>
      </c>
      <c r="H74" s="181" t="s">
        <v>84</v>
      </c>
      <c r="I74" s="104" t="s">
        <v>85</v>
      </c>
      <c r="J74" s="125">
        <v>153</v>
      </c>
      <c r="K74" s="125">
        <v>160</v>
      </c>
      <c r="L74" s="112">
        <f>EDUVIAL_2023[[#This Row],[HOMBRE]]+EDUVIAL_2023[[#This Row],[MUJER]]</f>
        <v>313</v>
      </c>
      <c r="M74" s="249">
        <v>17</v>
      </c>
      <c r="N74" s="106">
        <v>288</v>
      </c>
      <c r="O74" s="106">
        <v>0</v>
      </c>
      <c r="P74" s="106">
        <v>0</v>
      </c>
      <c r="Q74" s="106">
        <v>7</v>
      </c>
      <c r="R74" s="106">
        <v>1</v>
      </c>
      <c r="S7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313</v>
      </c>
      <c r="T74" s="120">
        <f>EDUVIAL_2023[[#This Row],[TOTAL SEXO]]</f>
        <v>313</v>
      </c>
      <c r="U74" s="79" t="str">
        <f>VLOOKUP(EDUVIAL_2023[[#This Row],[INSTITUCIÓN O EMPRESA]],LISTAS!$J$1:$M$81,3,0)</f>
        <v>Zona 9</v>
      </c>
      <c r="V74" s="79" t="str">
        <f>VLOOKUP(EDUVIAL_2023[[#This Row],[INSTITUCIÓN O EMPRESA]],LISTAS!$J$1:$M$81,4,0)</f>
        <v>Barrio Mesa</v>
      </c>
      <c r="W74" s="126" t="str">
        <f>VLOOKUP(EDUVIAL_2023[[#This Row],[INSTITUCIÓN O EMPRESA]],LISTAS!$J$1:$M$81,2,0)</f>
        <v>6.165319, -75.581362</v>
      </c>
      <c r="X74" s="114" t="b">
        <f>EXACT(EDUVIAL_2023[[#This Row],[TOTAL SEXO]],EDUVIAL_2023[[#This Row],[TOTAL RANGOS]])</f>
        <v>1</v>
      </c>
      <c r="Y74" s="106"/>
    </row>
    <row r="75" spans="1:25" ht="43.15">
      <c r="A75" s="128">
        <v>45769</v>
      </c>
      <c r="B75" s="108" t="s">
        <v>198</v>
      </c>
      <c r="C75" s="74" t="s">
        <v>176</v>
      </c>
      <c r="D75" s="6" t="s">
        <v>226</v>
      </c>
      <c r="E75" s="7" t="s">
        <v>51</v>
      </c>
      <c r="F75" s="104" t="s">
        <v>43</v>
      </c>
      <c r="G75" s="121" t="s">
        <v>229</v>
      </c>
      <c r="H75" s="121" t="s">
        <v>230</v>
      </c>
      <c r="I75" s="104" t="s">
        <v>231</v>
      </c>
      <c r="J75" s="125">
        <v>46</v>
      </c>
      <c r="K75" s="125">
        <v>32</v>
      </c>
      <c r="L75" s="112">
        <f>EDUVIAL_2023[[#This Row],[HOMBRE]]+EDUVIAL_2023[[#This Row],[MUJER]]</f>
        <v>78</v>
      </c>
      <c r="M75" s="249">
        <v>0</v>
      </c>
      <c r="N75" s="106">
        <v>75</v>
      </c>
      <c r="O75" s="106">
        <v>0</v>
      </c>
      <c r="P75" s="106">
        <v>0</v>
      </c>
      <c r="Q75" s="106">
        <v>3</v>
      </c>
      <c r="R75" s="106">
        <v>0</v>
      </c>
      <c r="S7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78</v>
      </c>
      <c r="T75" s="120">
        <f>EDUVIAL_2023[[#This Row],[TOTAL SEXO]]</f>
        <v>78</v>
      </c>
      <c r="U75" s="106" t="s">
        <v>33</v>
      </c>
      <c r="V75" s="106" t="s">
        <v>34</v>
      </c>
      <c r="W75" s="127" t="s">
        <v>117</v>
      </c>
      <c r="X75" s="114" t="b">
        <f>EXACT(EDUVIAL_2023[[#This Row],[TOTAL SEXO]],EDUVIAL_2023[[#This Row],[TOTAL RANGOS]])</f>
        <v>1</v>
      </c>
      <c r="Y75" s="106"/>
    </row>
    <row r="76" spans="1:25" ht="43.15">
      <c r="A76" s="128">
        <v>45770</v>
      </c>
      <c r="B76" s="108" t="s">
        <v>198</v>
      </c>
      <c r="C76" s="74" t="s">
        <v>176</v>
      </c>
      <c r="D76" s="6" t="s">
        <v>226</v>
      </c>
      <c r="E76" s="7" t="s">
        <v>51</v>
      </c>
      <c r="F76" s="104" t="s">
        <v>43</v>
      </c>
      <c r="G76" s="121" t="s">
        <v>232</v>
      </c>
      <c r="H76" s="121" t="s">
        <v>230</v>
      </c>
      <c r="I76" s="104" t="s">
        <v>233</v>
      </c>
      <c r="J76" s="125">
        <v>33</v>
      </c>
      <c r="K76" s="125">
        <v>29</v>
      </c>
      <c r="L76" s="112">
        <f>EDUVIAL_2023[[#This Row],[HOMBRE]]+EDUVIAL_2023[[#This Row],[MUJER]]</f>
        <v>62</v>
      </c>
      <c r="M76" s="249">
        <v>0</v>
      </c>
      <c r="N76" s="106">
        <v>60</v>
      </c>
      <c r="O76" s="106">
        <v>0</v>
      </c>
      <c r="P76" s="106">
        <v>0</v>
      </c>
      <c r="Q76" s="106">
        <v>2</v>
      </c>
      <c r="R76" s="106">
        <v>0</v>
      </c>
      <c r="S7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62</v>
      </c>
      <c r="T76" s="120">
        <f>EDUVIAL_2023[[#This Row],[TOTAL SEXO]]</f>
        <v>62</v>
      </c>
      <c r="U76" s="106" t="s">
        <v>33</v>
      </c>
      <c r="V76" s="106" t="s">
        <v>34</v>
      </c>
      <c r="W76" s="127" t="s">
        <v>117</v>
      </c>
      <c r="X76" s="114" t="b">
        <f>EXACT(EDUVIAL_2023[[#This Row],[TOTAL SEXO]],EDUVIAL_2023[[#This Row],[TOTAL RANGOS]])</f>
        <v>1</v>
      </c>
      <c r="Y76" s="106"/>
    </row>
    <row r="77" spans="1:25" ht="28.9">
      <c r="A77" s="128">
        <v>45770</v>
      </c>
      <c r="B77" s="108" t="s">
        <v>198</v>
      </c>
      <c r="C77" s="74" t="s">
        <v>36</v>
      </c>
      <c r="D77" s="6" t="s">
        <v>37</v>
      </c>
      <c r="E77" s="121" t="s">
        <v>38</v>
      </c>
      <c r="F77" s="104" t="s">
        <v>43</v>
      </c>
      <c r="G77" s="23" t="s">
        <v>39</v>
      </c>
      <c r="H77" s="23" t="s">
        <v>40</v>
      </c>
      <c r="I77" s="104" t="s">
        <v>234</v>
      </c>
      <c r="J77" s="125">
        <v>1</v>
      </c>
      <c r="K77" s="125">
        <v>0</v>
      </c>
      <c r="L77" s="112">
        <f>EDUVIAL_2023[[#This Row],[HOMBRE]]+EDUVIAL_2023[[#This Row],[MUJER]]</f>
        <v>1</v>
      </c>
      <c r="M77" s="249">
        <v>0</v>
      </c>
      <c r="N77" s="106">
        <v>0</v>
      </c>
      <c r="O77" s="106">
        <v>0</v>
      </c>
      <c r="P77" s="106">
        <v>1</v>
      </c>
      <c r="Q77" s="106">
        <v>0</v>
      </c>
      <c r="R77" s="106">
        <v>0</v>
      </c>
      <c r="S7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77" s="120">
        <f>EDUVIAL_2023[[#This Row],[TOTAL SEXO]]</f>
        <v>1</v>
      </c>
      <c r="U77" s="106" t="s">
        <v>33</v>
      </c>
      <c r="V77" s="106" t="s">
        <v>34</v>
      </c>
      <c r="W77" s="127" t="s">
        <v>117</v>
      </c>
      <c r="X77" s="114" t="b">
        <f>EXACT(EDUVIAL_2023[[#This Row],[TOTAL SEXO]],EDUVIAL_2023[[#This Row],[TOTAL RANGOS]])</f>
        <v>1</v>
      </c>
      <c r="Y77" s="106"/>
    </row>
    <row r="78" spans="1:25" ht="43.15">
      <c r="A78" s="128">
        <v>45771</v>
      </c>
      <c r="B78" s="108" t="s">
        <v>198</v>
      </c>
      <c r="C78" s="74" t="s">
        <v>176</v>
      </c>
      <c r="D78" s="6" t="s">
        <v>226</v>
      </c>
      <c r="E78" s="7" t="s">
        <v>51</v>
      </c>
      <c r="F78" s="104" t="s">
        <v>43</v>
      </c>
      <c r="G78" s="121" t="s">
        <v>235</v>
      </c>
      <c r="H78" s="121" t="s">
        <v>230</v>
      </c>
      <c r="I78" s="104" t="s">
        <v>236</v>
      </c>
      <c r="J78" s="125">
        <v>44</v>
      </c>
      <c r="K78" s="125">
        <v>25</v>
      </c>
      <c r="L78" s="112">
        <f>EDUVIAL_2023[[#This Row],[HOMBRE]]+EDUVIAL_2023[[#This Row],[MUJER]]</f>
        <v>69</v>
      </c>
      <c r="M78" s="249">
        <v>0</v>
      </c>
      <c r="N78" s="106">
        <v>66</v>
      </c>
      <c r="O78" s="106">
        <v>0</v>
      </c>
      <c r="P78" s="106">
        <v>0</v>
      </c>
      <c r="Q78" s="106">
        <v>3</v>
      </c>
      <c r="R78" s="106">
        <v>0</v>
      </c>
      <c r="S78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69</v>
      </c>
      <c r="T78" s="120">
        <f>EDUVIAL_2023[[#This Row],[TOTAL SEXO]]</f>
        <v>69</v>
      </c>
      <c r="U78" s="106" t="s">
        <v>33</v>
      </c>
      <c r="V78" s="106" t="s">
        <v>34</v>
      </c>
      <c r="W78" s="127" t="s">
        <v>117</v>
      </c>
      <c r="X78" s="114" t="b">
        <f>EXACT(EDUVIAL_2023[[#This Row],[TOTAL SEXO]],EDUVIAL_2023[[#This Row],[TOTAL RANGOS]])</f>
        <v>1</v>
      </c>
      <c r="Y78" s="106"/>
    </row>
    <row r="79" spans="1:25" ht="43.15">
      <c r="A79" s="128">
        <v>45772</v>
      </c>
      <c r="B79" s="108" t="s">
        <v>198</v>
      </c>
      <c r="C79" s="74" t="s">
        <v>49</v>
      </c>
      <c r="D79" s="6" t="s">
        <v>50</v>
      </c>
      <c r="E79" s="7" t="s">
        <v>51</v>
      </c>
      <c r="F79" s="104" t="s">
        <v>79</v>
      </c>
      <c r="G79" s="23" t="s">
        <v>237</v>
      </c>
      <c r="H79" s="121" t="s">
        <v>96</v>
      </c>
      <c r="I79" s="104" t="s">
        <v>209</v>
      </c>
      <c r="J79" s="125">
        <v>25</v>
      </c>
      <c r="K79" s="125">
        <v>8</v>
      </c>
      <c r="L79" s="112">
        <f>EDUVIAL_2023[[#This Row],[HOMBRE]]+EDUVIAL_2023[[#This Row],[MUJER]]</f>
        <v>33</v>
      </c>
      <c r="M79" s="249">
        <v>0</v>
      </c>
      <c r="N79" s="106">
        <v>0</v>
      </c>
      <c r="O79" s="106">
        <v>0</v>
      </c>
      <c r="P79" s="106">
        <v>2</v>
      </c>
      <c r="Q79" s="106">
        <v>30</v>
      </c>
      <c r="R79" s="106">
        <v>1</v>
      </c>
      <c r="S79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33</v>
      </c>
      <c r="T79" s="120">
        <f>EDUVIAL_2023[[#This Row],[TOTAL SEXO]]</f>
        <v>33</v>
      </c>
      <c r="U79" s="106" t="s">
        <v>73</v>
      </c>
      <c r="V79" s="106" t="s">
        <v>210</v>
      </c>
      <c r="W79" s="127" t="s">
        <v>211</v>
      </c>
      <c r="X79" s="114" t="b">
        <f>EXACT(EDUVIAL_2023[[#This Row],[TOTAL SEXO]],EDUVIAL_2023[[#This Row],[TOTAL RANGOS]])</f>
        <v>1</v>
      </c>
      <c r="Y79" s="106"/>
    </row>
    <row r="80" spans="1:25" ht="43.15">
      <c r="A80" s="128">
        <v>45782</v>
      </c>
      <c r="B80" s="133" t="s">
        <v>238</v>
      </c>
      <c r="C80" s="74" t="s">
        <v>67</v>
      </c>
      <c r="D80" s="6" t="s">
        <v>239</v>
      </c>
      <c r="E80" s="7" t="s">
        <v>51</v>
      </c>
      <c r="F80" s="6" t="s">
        <v>240</v>
      </c>
      <c r="G80" s="23" t="s">
        <v>241</v>
      </c>
      <c r="H80" s="23" t="s">
        <v>135</v>
      </c>
      <c r="I80" s="105" t="s">
        <v>242</v>
      </c>
      <c r="J80" s="125">
        <v>40</v>
      </c>
      <c r="K80" s="125">
        <v>61</v>
      </c>
      <c r="L80" s="112">
        <f>EDUVIAL_2023[[#This Row],[HOMBRE]]+EDUVIAL_2023[[#This Row],[MUJER]]</f>
        <v>101</v>
      </c>
      <c r="M80" s="249">
        <v>99</v>
      </c>
      <c r="N80" s="106">
        <v>0</v>
      </c>
      <c r="O80" s="106">
        <v>0</v>
      </c>
      <c r="P80" s="106">
        <v>0</v>
      </c>
      <c r="Q80" s="106">
        <v>2</v>
      </c>
      <c r="R80" s="106"/>
      <c r="S80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101</v>
      </c>
      <c r="T80" s="120">
        <f>EDUVIAL_2023[[#This Row],[TOTAL SEXO]]</f>
        <v>101</v>
      </c>
      <c r="U80" s="119" t="s">
        <v>156</v>
      </c>
      <c r="V80" s="119" t="s">
        <v>243</v>
      </c>
      <c r="W80" s="127" t="s">
        <v>244</v>
      </c>
      <c r="X80" s="114" t="b">
        <f>EXACT(EDUVIAL_2023[[#This Row],[TOTAL SEXO]],EDUVIAL_2023[[#This Row],[TOTAL RANGOS]])</f>
        <v>1</v>
      </c>
      <c r="Y80" s="106"/>
    </row>
    <row r="81" spans="1:25" ht="28.9">
      <c r="A81" s="128">
        <v>45784</v>
      </c>
      <c r="B81" s="108" t="s">
        <v>238</v>
      </c>
      <c r="C81" s="74" t="s">
        <v>36</v>
      </c>
      <c r="D81" s="6" t="s">
        <v>37</v>
      </c>
      <c r="E81" s="121" t="s">
        <v>38</v>
      </c>
      <c r="F81" s="104" t="s">
        <v>43</v>
      </c>
      <c r="G81" s="23" t="s">
        <v>39</v>
      </c>
      <c r="H81" s="23" t="s">
        <v>40</v>
      </c>
      <c r="I81" s="104" t="s">
        <v>245</v>
      </c>
      <c r="J81" s="125">
        <v>0</v>
      </c>
      <c r="K81" s="125">
        <v>1</v>
      </c>
      <c r="L81" s="112">
        <f>EDUVIAL_2023[[#This Row],[HOMBRE]]+EDUVIAL_2023[[#This Row],[MUJER]]</f>
        <v>1</v>
      </c>
      <c r="M81" s="249">
        <v>0</v>
      </c>
      <c r="N81" s="106">
        <v>0</v>
      </c>
      <c r="O81" s="106">
        <v>0</v>
      </c>
      <c r="P81" s="106">
        <v>0</v>
      </c>
      <c r="Q81" s="106">
        <v>1</v>
      </c>
      <c r="R81" s="106">
        <v>0</v>
      </c>
      <c r="S81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81" s="120">
        <f>EDUVIAL_2023[[#This Row],[TOTAL SEXO]]</f>
        <v>1</v>
      </c>
      <c r="U81" s="106" t="s">
        <v>33</v>
      </c>
      <c r="V81" s="106" t="s">
        <v>34</v>
      </c>
      <c r="W81" s="127" t="s">
        <v>117</v>
      </c>
      <c r="X81" s="114" t="b">
        <f>EXACT(EDUVIAL_2023[[#This Row],[TOTAL SEXO]],EDUVIAL_2023[[#This Row],[TOTAL RANGOS]])</f>
        <v>1</v>
      </c>
      <c r="Y81" s="106"/>
    </row>
    <row r="82" spans="1:25" ht="28.9">
      <c r="A82" s="128">
        <v>45784</v>
      </c>
      <c r="B82" s="108" t="s">
        <v>238</v>
      </c>
      <c r="C82" s="74" t="s">
        <v>36</v>
      </c>
      <c r="D82" s="6" t="s">
        <v>37</v>
      </c>
      <c r="E82" s="121" t="s">
        <v>38</v>
      </c>
      <c r="F82" s="104" t="s">
        <v>43</v>
      </c>
      <c r="G82" s="23" t="s">
        <v>39</v>
      </c>
      <c r="H82" s="23" t="s">
        <v>40</v>
      </c>
      <c r="I82" s="104" t="s">
        <v>246</v>
      </c>
      <c r="J82" s="125">
        <v>1</v>
      </c>
      <c r="K82" s="125">
        <v>0</v>
      </c>
      <c r="L82" s="112">
        <f>EDUVIAL_2023[[#This Row],[HOMBRE]]+EDUVIAL_2023[[#This Row],[MUJER]]</f>
        <v>1</v>
      </c>
      <c r="M82" s="249">
        <v>0</v>
      </c>
      <c r="N82" s="106">
        <v>0</v>
      </c>
      <c r="O82" s="106">
        <v>0</v>
      </c>
      <c r="P82" s="106">
        <v>0</v>
      </c>
      <c r="Q82" s="106">
        <v>1</v>
      </c>
      <c r="R82" s="106">
        <v>0</v>
      </c>
      <c r="S82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82" s="120">
        <f>EDUVIAL_2023[[#This Row],[TOTAL SEXO]]</f>
        <v>1</v>
      </c>
      <c r="U82" s="106" t="s">
        <v>33</v>
      </c>
      <c r="V82" s="106" t="s">
        <v>34</v>
      </c>
      <c r="W82" s="127" t="s">
        <v>117</v>
      </c>
      <c r="X82" s="114" t="b">
        <f>EXACT(EDUVIAL_2023[[#This Row],[TOTAL SEXO]],EDUVIAL_2023[[#This Row],[TOTAL RANGOS]])</f>
        <v>1</v>
      </c>
      <c r="Y82" s="106"/>
    </row>
    <row r="83" spans="1:25" ht="28.9">
      <c r="A83" s="128">
        <v>45784</v>
      </c>
      <c r="B83" s="108" t="s">
        <v>238</v>
      </c>
      <c r="C83" s="74" t="s">
        <v>36</v>
      </c>
      <c r="D83" s="6" t="s">
        <v>37</v>
      </c>
      <c r="E83" s="121" t="s">
        <v>38</v>
      </c>
      <c r="F83" s="104" t="s">
        <v>43</v>
      </c>
      <c r="G83" s="23" t="s">
        <v>39</v>
      </c>
      <c r="H83" s="23" t="s">
        <v>40</v>
      </c>
      <c r="I83" s="104" t="s">
        <v>247</v>
      </c>
      <c r="J83" s="125">
        <v>1</v>
      </c>
      <c r="K83" s="125">
        <v>0</v>
      </c>
      <c r="L83" s="112">
        <f>EDUVIAL_2023[[#This Row],[HOMBRE]]+EDUVIAL_2023[[#This Row],[MUJER]]</f>
        <v>1</v>
      </c>
      <c r="M83" s="249">
        <v>0</v>
      </c>
      <c r="N83" s="106">
        <v>0</v>
      </c>
      <c r="O83" s="106">
        <v>0</v>
      </c>
      <c r="P83" s="106">
        <v>0</v>
      </c>
      <c r="Q83" s="106">
        <v>1</v>
      </c>
      <c r="R83" s="106">
        <v>0</v>
      </c>
      <c r="S83" s="109"/>
      <c r="T83" s="120">
        <f>EDUVIAL_2023[[#This Row],[TOTAL SEXO]]</f>
        <v>1</v>
      </c>
      <c r="U83" s="106" t="s">
        <v>33</v>
      </c>
      <c r="V83" s="106" t="s">
        <v>34</v>
      </c>
      <c r="W83" s="127" t="s">
        <v>117</v>
      </c>
      <c r="X83" s="114" t="b">
        <f>EXACT(EDUVIAL_2023[[#This Row],[TOTAL SEXO]],EDUVIAL_2023[[#This Row],[TOTAL RANGOS]])</f>
        <v>0</v>
      </c>
      <c r="Y83" s="106"/>
    </row>
    <row r="84" spans="1:25" ht="43.15">
      <c r="A84" s="128">
        <v>45786</v>
      </c>
      <c r="B84" s="133" t="s">
        <v>238</v>
      </c>
      <c r="C84" s="74" t="s">
        <v>67</v>
      </c>
      <c r="D84" s="6" t="s">
        <v>68</v>
      </c>
      <c r="E84" s="7" t="s">
        <v>248</v>
      </c>
      <c r="F84" s="105" t="s">
        <v>43</v>
      </c>
      <c r="G84" s="23" t="s">
        <v>249</v>
      </c>
      <c r="H84" s="196" t="s">
        <v>250</v>
      </c>
      <c r="I84" s="105" t="s">
        <v>251</v>
      </c>
      <c r="J84" s="125">
        <v>1</v>
      </c>
      <c r="K84" s="125">
        <v>5</v>
      </c>
      <c r="L84" s="112">
        <f>EDUVIAL_2023[[#This Row],[HOMBRE]]+EDUVIAL_2023[[#This Row],[MUJER]]</f>
        <v>6</v>
      </c>
      <c r="M84" s="249">
        <v>0</v>
      </c>
      <c r="N84" s="106">
        <v>0</v>
      </c>
      <c r="O84" s="106">
        <v>0</v>
      </c>
      <c r="P84" s="106">
        <v>1</v>
      </c>
      <c r="Q84" s="106">
        <v>5</v>
      </c>
      <c r="R84" s="106">
        <v>0</v>
      </c>
      <c r="S8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6</v>
      </c>
      <c r="T84" s="120">
        <f>EDUVIAL_2023[[#This Row],[TOTAL SEXO]]</f>
        <v>6</v>
      </c>
      <c r="U84" s="119" t="s">
        <v>132</v>
      </c>
      <c r="V84" s="119" t="s">
        <v>133</v>
      </c>
      <c r="W84" s="127" t="s">
        <v>167</v>
      </c>
      <c r="X84" s="114" t="b">
        <f>EXACT(EDUVIAL_2023[[#This Row],[TOTAL SEXO]],EDUVIAL_2023[[#This Row],[TOTAL RANGOS]])</f>
        <v>1</v>
      </c>
      <c r="Y84" s="106"/>
    </row>
    <row r="85" spans="1:25" ht="28.9">
      <c r="A85" s="128">
        <v>45786</v>
      </c>
      <c r="B85" s="108" t="s">
        <v>238</v>
      </c>
      <c r="C85" s="74" t="s">
        <v>67</v>
      </c>
      <c r="D85" s="6" t="s">
        <v>239</v>
      </c>
      <c r="E85" s="121" t="s">
        <v>252</v>
      </c>
      <c r="F85" s="104" t="s">
        <v>43</v>
      </c>
      <c r="G85" s="23" t="s">
        <v>253</v>
      </c>
      <c r="H85" s="181" t="s">
        <v>71</v>
      </c>
      <c r="I85" s="104" t="s">
        <v>72</v>
      </c>
      <c r="J85" s="125">
        <v>40</v>
      </c>
      <c r="K85" s="125">
        <v>20</v>
      </c>
      <c r="L85" s="112">
        <f>EDUVIAL_2023[[#This Row],[HOMBRE]]+EDUVIAL_2023[[#This Row],[MUJER]]</f>
        <v>60</v>
      </c>
      <c r="M85" s="249">
        <v>60</v>
      </c>
      <c r="N85" s="106">
        <v>0</v>
      </c>
      <c r="O85" s="106">
        <v>0</v>
      </c>
      <c r="P85" s="106">
        <v>0</v>
      </c>
      <c r="Q85" s="106">
        <v>0</v>
      </c>
      <c r="R85" s="106">
        <v>0</v>
      </c>
      <c r="S8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60</v>
      </c>
      <c r="T85" s="120">
        <f>EDUVIAL_2023[[#This Row],[TOTAL SEXO]]</f>
        <v>60</v>
      </c>
      <c r="U85" s="106" t="s">
        <v>33</v>
      </c>
      <c r="V85" s="106" t="s">
        <v>34</v>
      </c>
      <c r="W85" s="127" t="s">
        <v>117</v>
      </c>
      <c r="X85" s="114" t="b">
        <f>EXACT(EDUVIAL_2023[[#This Row],[TOTAL SEXO]],EDUVIAL_2023[[#This Row],[TOTAL RANGOS]])</f>
        <v>1</v>
      </c>
      <c r="Y85" s="106"/>
    </row>
    <row r="86" spans="1:25" ht="43.15">
      <c r="A86" s="128">
        <v>45789</v>
      </c>
      <c r="B86" s="133" t="s">
        <v>238</v>
      </c>
      <c r="C86" s="74" t="s">
        <v>67</v>
      </c>
      <c r="D86" s="6" t="s">
        <v>254</v>
      </c>
      <c r="E86" s="7" t="s">
        <v>51</v>
      </c>
      <c r="F86" s="105" t="s">
        <v>43</v>
      </c>
      <c r="G86" s="23" t="s">
        <v>255</v>
      </c>
      <c r="H86" s="196" t="s">
        <v>188</v>
      </c>
      <c r="I86" s="105" t="s">
        <v>189</v>
      </c>
      <c r="J86" s="125">
        <v>58</v>
      </c>
      <c r="K86" s="125">
        <v>50</v>
      </c>
      <c r="L86" s="112">
        <f>EDUVIAL_2023[[#This Row],[HOMBRE]]+EDUVIAL_2023[[#This Row],[MUJER]]</f>
        <v>108</v>
      </c>
      <c r="M86" s="249">
        <v>0</v>
      </c>
      <c r="N86" s="106">
        <v>0</v>
      </c>
      <c r="O86" s="106">
        <v>108</v>
      </c>
      <c r="P86" s="106">
        <v>0</v>
      </c>
      <c r="Q86" s="106">
        <v>0</v>
      </c>
      <c r="R86" s="106">
        <v>0</v>
      </c>
      <c r="S8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108</v>
      </c>
      <c r="T86" s="120">
        <f>EDUVIAL_2023[[#This Row],[TOTAL SEXO]]</f>
        <v>108</v>
      </c>
      <c r="U86" s="119" t="s">
        <v>73</v>
      </c>
      <c r="V86" s="79" t="s">
        <v>74</v>
      </c>
      <c r="W86" s="127" t="s">
        <v>256</v>
      </c>
      <c r="X86" s="114" t="b">
        <f>EXACT(EDUVIAL_2023[[#This Row],[TOTAL SEXO]],EDUVIAL_2023[[#This Row],[TOTAL RANGOS]])</f>
        <v>1</v>
      </c>
      <c r="Y86" s="106"/>
    </row>
    <row r="87" spans="1:25" ht="43.15">
      <c r="A87" s="128">
        <v>45789</v>
      </c>
      <c r="B87" s="133" t="s">
        <v>238</v>
      </c>
      <c r="C87" s="74" t="s">
        <v>67</v>
      </c>
      <c r="D87" s="6" t="s">
        <v>254</v>
      </c>
      <c r="E87" s="7" t="s">
        <v>51</v>
      </c>
      <c r="F87" s="105" t="s">
        <v>43</v>
      </c>
      <c r="G87" s="23" t="s">
        <v>257</v>
      </c>
      <c r="H87" s="196" t="s">
        <v>188</v>
      </c>
      <c r="I87" s="105" t="s">
        <v>189</v>
      </c>
      <c r="J87" s="125">
        <v>63</v>
      </c>
      <c r="K87" s="125">
        <v>46</v>
      </c>
      <c r="L87" s="112">
        <f>EDUVIAL_2023[[#This Row],[HOMBRE]]+EDUVIAL_2023[[#This Row],[MUJER]]</f>
        <v>109</v>
      </c>
      <c r="M87" s="249">
        <v>0</v>
      </c>
      <c r="N87" s="106">
        <v>0</v>
      </c>
      <c r="O87" s="106">
        <v>109</v>
      </c>
      <c r="P87" s="106">
        <v>0</v>
      </c>
      <c r="Q87" s="106">
        <v>0</v>
      </c>
      <c r="R87" s="106">
        <v>0</v>
      </c>
      <c r="S8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109</v>
      </c>
      <c r="T87" s="120">
        <f>EDUVIAL_2023[[#This Row],[TOTAL SEXO]]</f>
        <v>109</v>
      </c>
      <c r="U87" s="119" t="s">
        <v>73</v>
      </c>
      <c r="V87" s="79" t="s">
        <v>74</v>
      </c>
      <c r="W87" s="127" t="s">
        <v>256</v>
      </c>
      <c r="X87" s="114" t="b">
        <f>EXACT(EDUVIAL_2023[[#This Row],[TOTAL SEXO]],EDUVIAL_2023[[#This Row],[TOTAL RANGOS]])</f>
        <v>1</v>
      </c>
      <c r="Y87" s="106"/>
    </row>
    <row r="88" spans="1:25" ht="43.15">
      <c r="A88" s="128">
        <v>45790</v>
      </c>
      <c r="B88" s="133" t="s">
        <v>238</v>
      </c>
      <c r="C88" s="74" t="s">
        <v>67</v>
      </c>
      <c r="D88" s="6" t="s">
        <v>226</v>
      </c>
      <c r="E88" s="7" t="s">
        <v>51</v>
      </c>
      <c r="F88" s="105" t="s">
        <v>43</v>
      </c>
      <c r="G88" s="23" t="s">
        <v>258</v>
      </c>
      <c r="H88" s="181" t="s">
        <v>71</v>
      </c>
      <c r="I88" s="105" t="s">
        <v>259</v>
      </c>
      <c r="J88" s="125">
        <v>15</v>
      </c>
      <c r="K88" s="125">
        <v>20</v>
      </c>
      <c r="L88" s="112">
        <f>EDUVIAL_2023[[#This Row],[HOMBRE]]+EDUVIAL_2023[[#This Row],[MUJER]]</f>
        <v>35</v>
      </c>
      <c r="M88" s="249">
        <v>0</v>
      </c>
      <c r="N88" s="106">
        <v>35</v>
      </c>
      <c r="O88" s="106">
        <v>0</v>
      </c>
      <c r="P88" s="106">
        <v>0</v>
      </c>
      <c r="Q88" s="106">
        <v>0</v>
      </c>
      <c r="R88" s="106">
        <v>0</v>
      </c>
      <c r="S88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35</v>
      </c>
      <c r="T88" s="120">
        <f>EDUVIAL_2023[[#This Row],[TOTAL SEXO]]</f>
        <v>35</v>
      </c>
      <c r="U88" s="119" t="s">
        <v>33</v>
      </c>
      <c r="V88" s="119" t="s">
        <v>34</v>
      </c>
      <c r="W88" s="127" t="s">
        <v>117</v>
      </c>
      <c r="X88" s="114" t="b">
        <f>EXACT(EDUVIAL_2023[[#This Row],[TOTAL SEXO]],EDUVIAL_2023[[#This Row],[TOTAL RANGOS]])</f>
        <v>1</v>
      </c>
      <c r="Y88" s="106"/>
    </row>
    <row r="89" spans="1:25" ht="28.9">
      <c r="A89" s="128">
        <v>45790</v>
      </c>
      <c r="B89" s="133" t="s">
        <v>238</v>
      </c>
      <c r="C89" s="74" t="s">
        <v>36</v>
      </c>
      <c r="D89" s="6" t="s">
        <v>37</v>
      </c>
      <c r="E89" s="121" t="s">
        <v>38</v>
      </c>
      <c r="F89" s="105" t="s">
        <v>43</v>
      </c>
      <c r="G89" s="23" t="s">
        <v>39</v>
      </c>
      <c r="H89" s="23" t="s">
        <v>260</v>
      </c>
      <c r="I89" s="105" t="s">
        <v>261</v>
      </c>
      <c r="J89" s="125">
        <v>1</v>
      </c>
      <c r="K89" s="125">
        <v>0</v>
      </c>
      <c r="L89" s="112">
        <f>EDUVIAL_2023[[#This Row],[HOMBRE]]+EDUVIAL_2023[[#This Row],[MUJER]]</f>
        <v>1</v>
      </c>
      <c r="M89" s="249">
        <v>0</v>
      </c>
      <c r="N89" s="106">
        <v>0</v>
      </c>
      <c r="O89" s="106">
        <v>0</v>
      </c>
      <c r="P89" s="106">
        <v>0</v>
      </c>
      <c r="Q89" s="106">
        <v>1</v>
      </c>
      <c r="R89" s="106">
        <v>0</v>
      </c>
      <c r="S89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89" s="120">
        <f>EDUVIAL_2023[[#This Row],[TOTAL SEXO]]</f>
        <v>1</v>
      </c>
      <c r="U89" s="119" t="s">
        <v>33</v>
      </c>
      <c r="V89" s="119" t="s">
        <v>34</v>
      </c>
      <c r="W89" s="127" t="s">
        <v>117</v>
      </c>
      <c r="X89" s="114" t="b">
        <f>EXACT(EDUVIAL_2023[[#This Row],[TOTAL SEXO]],EDUVIAL_2023[[#This Row],[TOTAL RANGOS]])</f>
        <v>1</v>
      </c>
      <c r="Y89" s="106"/>
    </row>
    <row r="90" spans="1:25" ht="43.15">
      <c r="A90" s="128">
        <v>45790</v>
      </c>
      <c r="B90" s="133" t="s">
        <v>238</v>
      </c>
      <c r="C90" s="74" t="s">
        <v>67</v>
      </c>
      <c r="D90" s="6" t="s">
        <v>254</v>
      </c>
      <c r="E90" s="7" t="s">
        <v>51</v>
      </c>
      <c r="F90" s="105" t="s">
        <v>43</v>
      </c>
      <c r="G90" s="23" t="s">
        <v>262</v>
      </c>
      <c r="H90" s="196" t="s">
        <v>188</v>
      </c>
      <c r="I90" s="105" t="s">
        <v>189</v>
      </c>
      <c r="J90" s="125">
        <v>59</v>
      </c>
      <c r="K90" s="125">
        <v>59</v>
      </c>
      <c r="L90" s="112">
        <f>EDUVIAL_2023[[#This Row],[HOMBRE]]+EDUVIAL_2023[[#This Row],[MUJER]]</f>
        <v>118</v>
      </c>
      <c r="M90" s="249">
        <v>0</v>
      </c>
      <c r="N90" s="106">
        <v>0</v>
      </c>
      <c r="O90" s="106">
        <v>118</v>
      </c>
      <c r="P90" s="106">
        <v>0</v>
      </c>
      <c r="Q90" s="106">
        <v>0</v>
      </c>
      <c r="R90" s="106">
        <v>0</v>
      </c>
      <c r="S90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118</v>
      </c>
      <c r="T90" s="120">
        <f>EDUVIAL_2023[[#This Row],[TOTAL SEXO]]</f>
        <v>118</v>
      </c>
      <c r="U90" s="119" t="s">
        <v>73</v>
      </c>
      <c r="V90" s="79" t="s">
        <v>74</v>
      </c>
      <c r="W90" s="127" t="s">
        <v>256</v>
      </c>
      <c r="X90" s="114" t="b">
        <f>EXACT(EDUVIAL_2023[[#This Row],[TOTAL SEXO]],EDUVIAL_2023[[#This Row],[TOTAL RANGOS]])</f>
        <v>1</v>
      </c>
      <c r="Y90" s="106"/>
    </row>
    <row r="91" spans="1:25" ht="43.15">
      <c r="A91" s="128">
        <v>45790</v>
      </c>
      <c r="B91" s="133" t="s">
        <v>238</v>
      </c>
      <c r="C91" s="74" t="s">
        <v>67</v>
      </c>
      <c r="D91" s="6" t="s">
        <v>254</v>
      </c>
      <c r="E91" s="7" t="s">
        <v>51</v>
      </c>
      <c r="F91" s="105" t="s">
        <v>43</v>
      </c>
      <c r="G91" s="23" t="s">
        <v>263</v>
      </c>
      <c r="H91" s="196" t="s">
        <v>188</v>
      </c>
      <c r="I91" s="105" t="s">
        <v>189</v>
      </c>
      <c r="J91" s="125">
        <v>58</v>
      </c>
      <c r="K91" s="125">
        <v>72</v>
      </c>
      <c r="L91" s="112">
        <f>EDUVIAL_2023[[#This Row],[HOMBRE]]+EDUVIAL_2023[[#This Row],[MUJER]]</f>
        <v>130</v>
      </c>
      <c r="M91" s="249">
        <v>0</v>
      </c>
      <c r="N91" s="106">
        <v>0</v>
      </c>
      <c r="O91" s="106">
        <v>130</v>
      </c>
      <c r="P91" s="106">
        <v>0</v>
      </c>
      <c r="Q91" s="106">
        <v>0</v>
      </c>
      <c r="R91" s="106">
        <v>0</v>
      </c>
      <c r="S91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130</v>
      </c>
      <c r="T91" s="120">
        <f>EDUVIAL_2023[[#This Row],[TOTAL SEXO]]</f>
        <v>130</v>
      </c>
      <c r="U91" s="119" t="s">
        <v>73</v>
      </c>
      <c r="V91" s="79" t="s">
        <v>74</v>
      </c>
      <c r="W91" s="127" t="s">
        <v>256</v>
      </c>
      <c r="X91" s="114" t="b">
        <f>EXACT(EDUVIAL_2023[[#This Row],[TOTAL SEXO]],EDUVIAL_2023[[#This Row],[TOTAL RANGOS]])</f>
        <v>1</v>
      </c>
      <c r="Y91" s="106"/>
    </row>
    <row r="92" spans="1:25" ht="43.15">
      <c r="A92" s="128">
        <v>45791</v>
      </c>
      <c r="B92" s="133" t="s">
        <v>238</v>
      </c>
      <c r="C92" s="74" t="s">
        <v>67</v>
      </c>
      <c r="D92" s="6" t="s">
        <v>254</v>
      </c>
      <c r="E92" s="7" t="s">
        <v>51</v>
      </c>
      <c r="F92" s="105" t="s">
        <v>43</v>
      </c>
      <c r="G92" s="23" t="s">
        <v>264</v>
      </c>
      <c r="H92" s="196" t="s">
        <v>188</v>
      </c>
      <c r="I92" s="105" t="s">
        <v>189</v>
      </c>
      <c r="J92" s="125">
        <v>71</v>
      </c>
      <c r="K92" s="125">
        <v>50</v>
      </c>
      <c r="L92" s="112">
        <f>EDUVIAL_2023[[#This Row],[HOMBRE]]+EDUVIAL_2023[[#This Row],[MUJER]]</f>
        <v>121</v>
      </c>
      <c r="M92" s="249">
        <v>0</v>
      </c>
      <c r="N92" s="106">
        <v>0</v>
      </c>
      <c r="O92" s="106">
        <v>121</v>
      </c>
      <c r="P92" s="106">
        <v>0</v>
      </c>
      <c r="Q92" s="106">
        <v>0</v>
      </c>
      <c r="R92" s="106">
        <v>0</v>
      </c>
      <c r="S92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121</v>
      </c>
      <c r="T92" s="120">
        <f>EDUVIAL_2023[[#This Row],[TOTAL SEXO]]</f>
        <v>121</v>
      </c>
      <c r="U92" s="119" t="s">
        <v>73</v>
      </c>
      <c r="V92" s="79" t="s">
        <v>74</v>
      </c>
      <c r="W92" s="127" t="s">
        <v>256</v>
      </c>
      <c r="X92" s="114" t="b">
        <f>EXACT(EDUVIAL_2023[[#This Row],[TOTAL SEXO]],EDUVIAL_2023[[#This Row],[TOTAL RANGOS]])</f>
        <v>1</v>
      </c>
      <c r="Y92" s="106"/>
    </row>
    <row r="93" spans="1:25" ht="43.15">
      <c r="A93" s="128">
        <v>45791</v>
      </c>
      <c r="B93" s="133" t="s">
        <v>238</v>
      </c>
      <c r="C93" s="74" t="s">
        <v>67</v>
      </c>
      <c r="D93" s="6" t="s">
        <v>254</v>
      </c>
      <c r="E93" s="7" t="s">
        <v>51</v>
      </c>
      <c r="F93" s="105" t="s">
        <v>43</v>
      </c>
      <c r="G93" s="23" t="s">
        <v>265</v>
      </c>
      <c r="H93" s="196" t="s">
        <v>188</v>
      </c>
      <c r="I93" s="105" t="s">
        <v>189</v>
      </c>
      <c r="J93" s="125">
        <v>55</v>
      </c>
      <c r="K93" s="125">
        <v>57</v>
      </c>
      <c r="L93" s="112">
        <f>EDUVIAL_2023[[#This Row],[HOMBRE]]+EDUVIAL_2023[[#This Row],[MUJER]]</f>
        <v>112</v>
      </c>
      <c r="M93" s="249">
        <v>0</v>
      </c>
      <c r="N93" s="106">
        <v>0</v>
      </c>
      <c r="O93" s="106">
        <v>104</v>
      </c>
      <c r="P93" s="106">
        <v>8</v>
      </c>
      <c r="Q93" s="106">
        <v>0</v>
      </c>
      <c r="R93" s="106">
        <v>0</v>
      </c>
      <c r="S93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112</v>
      </c>
      <c r="T93" s="120">
        <f>EDUVIAL_2023[[#This Row],[TOTAL SEXO]]</f>
        <v>112</v>
      </c>
      <c r="U93" s="119" t="s">
        <v>73</v>
      </c>
      <c r="V93" s="79" t="s">
        <v>74</v>
      </c>
      <c r="W93" s="127" t="s">
        <v>256</v>
      </c>
      <c r="X93" s="114" t="b">
        <f>EXACT(EDUVIAL_2023[[#This Row],[TOTAL SEXO]],EDUVIAL_2023[[#This Row],[TOTAL RANGOS]])</f>
        <v>1</v>
      </c>
      <c r="Y93" s="106"/>
    </row>
    <row r="94" spans="1:25">
      <c r="A94" s="128">
        <v>45792</v>
      </c>
      <c r="B94" s="133" t="s">
        <v>238</v>
      </c>
      <c r="C94" s="74" t="s">
        <v>67</v>
      </c>
      <c r="D94" s="182" t="s">
        <v>101</v>
      </c>
      <c r="E94" s="177" t="s">
        <v>128</v>
      </c>
      <c r="F94" s="105" t="s">
        <v>43</v>
      </c>
      <c r="G94" s="23" t="s">
        <v>266</v>
      </c>
      <c r="H94" s="181" t="s">
        <v>267</v>
      </c>
      <c r="I94" s="105" t="s">
        <v>268</v>
      </c>
      <c r="J94" s="125">
        <v>5</v>
      </c>
      <c r="K94" s="125">
        <v>28</v>
      </c>
      <c r="L94" s="112">
        <f>EDUVIAL_2023[[#This Row],[HOMBRE]]+EDUVIAL_2023[[#This Row],[MUJER]]</f>
        <v>33</v>
      </c>
      <c r="M94" s="249">
        <v>0</v>
      </c>
      <c r="N94" s="106">
        <v>0</v>
      </c>
      <c r="O94" s="106">
        <v>0</v>
      </c>
      <c r="P94" s="106">
        <v>1</v>
      </c>
      <c r="Q94" s="106">
        <v>32</v>
      </c>
      <c r="R94" s="106">
        <v>0</v>
      </c>
      <c r="S9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33</v>
      </c>
      <c r="T94" s="120">
        <f>EDUVIAL_2023[[#This Row],[TOTAL SEXO]]</f>
        <v>33</v>
      </c>
      <c r="U94" s="119" t="s">
        <v>269</v>
      </c>
      <c r="V94" s="119" t="s">
        <v>270</v>
      </c>
      <c r="W94" s="127" t="s">
        <v>271</v>
      </c>
      <c r="X94" s="114" t="b">
        <f>EXACT(EDUVIAL_2023[[#This Row],[TOTAL SEXO]],EDUVIAL_2023[[#This Row],[TOTAL RANGOS]])</f>
        <v>1</v>
      </c>
      <c r="Y94" s="106"/>
    </row>
    <row r="95" spans="1:25" ht="43.15">
      <c r="A95" s="128">
        <v>45792</v>
      </c>
      <c r="B95" s="133" t="s">
        <v>238</v>
      </c>
      <c r="C95" s="74" t="s">
        <v>176</v>
      </c>
      <c r="D95" s="6" t="s">
        <v>226</v>
      </c>
      <c r="E95" s="7" t="s">
        <v>51</v>
      </c>
      <c r="F95" s="6" t="s">
        <v>240</v>
      </c>
      <c r="G95" s="23" t="s">
        <v>272</v>
      </c>
      <c r="H95" s="181" t="s">
        <v>98</v>
      </c>
      <c r="I95" s="105" t="s">
        <v>160</v>
      </c>
      <c r="J95" s="125">
        <v>18</v>
      </c>
      <c r="K95" s="125">
        <v>12</v>
      </c>
      <c r="L95" s="112">
        <f>EDUVIAL_2023[[#This Row],[HOMBRE]]+EDUVIAL_2023[[#This Row],[MUJER]]</f>
        <v>30</v>
      </c>
      <c r="M95" s="249">
        <v>0</v>
      </c>
      <c r="N95" s="106">
        <v>30</v>
      </c>
      <c r="O95" s="106">
        <v>0</v>
      </c>
      <c r="P95" s="106">
        <v>0</v>
      </c>
      <c r="Q95" s="106">
        <v>0</v>
      </c>
      <c r="R95" s="106">
        <v>0</v>
      </c>
      <c r="S9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30</v>
      </c>
      <c r="T95" s="120">
        <f>EDUVIAL_2023[[#This Row],[TOTAL SEXO]]</f>
        <v>30</v>
      </c>
      <c r="U95" s="119" t="s">
        <v>269</v>
      </c>
      <c r="V95" s="119" t="s">
        <v>34</v>
      </c>
      <c r="W95" s="127" t="s">
        <v>117</v>
      </c>
      <c r="X95" s="114" t="b">
        <f>EXACT(EDUVIAL_2023[[#This Row],[TOTAL SEXO]],EDUVIAL_2023[[#This Row],[TOTAL RANGOS]])</f>
        <v>1</v>
      </c>
      <c r="Y95" s="106"/>
    </row>
    <row r="96" spans="1:25" ht="43.15">
      <c r="A96" s="128">
        <v>45792</v>
      </c>
      <c r="B96" s="133" t="s">
        <v>238</v>
      </c>
      <c r="C96" s="74" t="s">
        <v>176</v>
      </c>
      <c r="D96" s="6" t="s">
        <v>226</v>
      </c>
      <c r="E96" s="7" t="s">
        <v>51</v>
      </c>
      <c r="F96" s="6" t="s">
        <v>240</v>
      </c>
      <c r="G96" s="23" t="s">
        <v>273</v>
      </c>
      <c r="H96" s="181" t="s">
        <v>98</v>
      </c>
      <c r="I96" s="105" t="s">
        <v>160</v>
      </c>
      <c r="J96" s="125">
        <v>13</v>
      </c>
      <c r="K96" s="125">
        <v>6</v>
      </c>
      <c r="L96" s="112">
        <f>EDUVIAL_2023[[#This Row],[HOMBRE]]+EDUVIAL_2023[[#This Row],[MUJER]]</f>
        <v>19</v>
      </c>
      <c r="M96" s="249">
        <v>0</v>
      </c>
      <c r="N96" s="106">
        <v>13</v>
      </c>
      <c r="O96" s="106">
        <v>0</v>
      </c>
      <c r="P96" s="106">
        <v>0</v>
      </c>
      <c r="Q96" s="106">
        <v>0</v>
      </c>
      <c r="R96" s="106">
        <v>0</v>
      </c>
      <c r="S9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13</v>
      </c>
      <c r="T96" s="120">
        <f>EDUVIAL_2023[[#This Row],[TOTAL SEXO]]</f>
        <v>19</v>
      </c>
      <c r="U96" s="119" t="s">
        <v>269</v>
      </c>
      <c r="V96" s="119" t="s">
        <v>34</v>
      </c>
      <c r="W96" s="127" t="s">
        <v>117</v>
      </c>
      <c r="X96" s="114" t="b">
        <f>EXACT(EDUVIAL_2023[[#This Row],[TOTAL SEXO]],EDUVIAL_2023[[#This Row],[TOTAL RANGOS]])</f>
        <v>0</v>
      </c>
      <c r="Y96" s="106"/>
    </row>
    <row r="97" spans="1:25" ht="28.9">
      <c r="A97" s="128">
        <v>45796</v>
      </c>
      <c r="B97" s="133" t="s">
        <v>238</v>
      </c>
      <c r="C97" s="74" t="s">
        <v>67</v>
      </c>
      <c r="D97" s="6" t="s">
        <v>226</v>
      </c>
      <c r="E97" s="7" t="s">
        <v>274</v>
      </c>
      <c r="F97" s="105" t="s">
        <v>43</v>
      </c>
      <c r="G97" s="23" t="s">
        <v>275</v>
      </c>
      <c r="H97" s="181" t="s">
        <v>84</v>
      </c>
      <c r="I97" s="105" t="s">
        <v>85</v>
      </c>
      <c r="J97" s="125">
        <v>146</v>
      </c>
      <c r="K97" s="125">
        <v>102</v>
      </c>
      <c r="L97" s="112">
        <f>EDUVIAL_2023[[#This Row],[HOMBRE]]+EDUVIAL_2023[[#This Row],[MUJER]]</f>
        <v>248</v>
      </c>
      <c r="M97" s="249">
        <v>30</v>
      </c>
      <c r="N97" s="106">
        <v>218</v>
      </c>
      <c r="O97" s="106">
        <v>0</v>
      </c>
      <c r="P97" s="106">
        <v>0</v>
      </c>
      <c r="Q97" s="106">
        <v>0</v>
      </c>
      <c r="R97" s="106">
        <v>0</v>
      </c>
      <c r="S9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248</v>
      </c>
      <c r="T97" s="120">
        <f>EDUVIAL_2023[[#This Row],[TOTAL SEXO]]</f>
        <v>248</v>
      </c>
      <c r="U97" s="119" t="s">
        <v>269</v>
      </c>
      <c r="V97" s="119" t="s">
        <v>34</v>
      </c>
      <c r="W97" s="127" t="s">
        <v>175</v>
      </c>
      <c r="X97" s="114" t="b">
        <f>EXACT(EDUVIAL_2023[[#This Row],[TOTAL SEXO]],EDUVIAL_2023[[#This Row],[TOTAL RANGOS]])</f>
        <v>1</v>
      </c>
      <c r="Y97" s="106"/>
    </row>
    <row r="98" spans="1:25" ht="28.9">
      <c r="A98" s="128">
        <v>45796</v>
      </c>
      <c r="B98" s="108" t="s">
        <v>238</v>
      </c>
      <c r="C98" s="74" t="s">
        <v>36</v>
      </c>
      <c r="D98" s="6" t="s">
        <v>37</v>
      </c>
      <c r="E98" s="121" t="s">
        <v>38</v>
      </c>
      <c r="F98" s="105" t="s">
        <v>43</v>
      </c>
      <c r="G98" s="23" t="s">
        <v>39</v>
      </c>
      <c r="H98" s="23" t="s">
        <v>260</v>
      </c>
      <c r="I98" s="104" t="s">
        <v>276</v>
      </c>
      <c r="J98" s="125">
        <v>1</v>
      </c>
      <c r="K98" s="125">
        <v>0</v>
      </c>
      <c r="L98" s="112">
        <f>EDUVIAL_2023[[#This Row],[HOMBRE]]+EDUVIAL_2023[[#This Row],[MUJER]]</f>
        <v>1</v>
      </c>
      <c r="M98" s="249">
        <v>0</v>
      </c>
      <c r="N98" s="106">
        <v>0</v>
      </c>
      <c r="O98" s="106">
        <v>0</v>
      </c>
      <c r="P98" s="106">
        <v>0</v>
      </c>
      <c r="Q98" s="106">
        <v>1</v>
      </c>
      <c r="R98" s="106">
        <v>0</v>
      </c>
      <c r="S98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98" s="120">
        <f>EDUVIAL_2023[[#This Row],[TOTAL SEXO]]</f>
        <v>1</v>
      </c>
      <c r="U98" s="119" t="s">
        <v>269</v>
      </c>
      <c r="V98" s="119" t="s">
        <v>34</v>
      </c>
      <c r="W98" s="127" t="s">
        <v>175</v>
      </c>
      <c r="X98" s="114" t="b">
        <f>EXACT(EDUVIAL_2023[[#This Row],[TOTAL SEXO]],EDUVIAL_2023[[#This Row],[TOTAL RANGOS]])</f>
        <v>1</v>
      </c>
      <c r="Y98" s="106"/>
    </row>
    <row r="99" spans="1:25" ht="43.15">
      <c r="A99" s="128">
        <v>45797</v>
      </c>
      <c r="B99" s="133" t="s">
        <v>238</v>
      </c>
      <c r="C99" s="74" t="s">
        <v>176</v>
      </c>
      <c r="D99" s="6" t="s">
        <v>226</v>
      </c>
      <c r="E99" s="7" t="s">
        <v>51</v>
      </c>
      <c r="F99" s="105" t="s">
        <v>43</v>
      </c>
      <c r="G99" s="23" t="s">
        <v>277</v>
      </c>
      <c r="H99" s="181" t="s">
        <v>98</v>
      </c>
      <c r="I99" s="105" t="s">
        <v>160</v>
      </c>
      <c r="J99" s="125">
        <v>40</v>
      </c>
      <c r="K99" s="125">
        <v>20</v>
      </c>
      <c r="L99" s="112">
        <f>EDUVIAL_2023[[#This Row],[HOMBRE]]+EDUVIAL_2023[[#This Row],[MUJER]]</f>
        <v>60</v>
      </c>
      <c r="M99" s="249">
        <v>0</v>
      </c>
      <c r="N99" s="106">
        <v>50</v>
      </c>
      <c r="O99" s="106">
        <v>10</v>
      </c>
      <c r="P99" s="106">
        <v>0</v>
      </c>
      <c r="Q99" s="106">
        <v>0</v>
      </c>
      <c r="R99" s="106">
        <v>0</v>
      </c>
      <c r="S99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60</v>
      </c>
      <c r="T99" s="120">
        <f>EDUVIAL_2023[[#This Row],[TOTAL SEXO]]</f>
        <v>60</v>
      </c>
      <c r="U99" s="119" t="s">
        <v>269</v>
      </c>
      <c r="V99" s="119" t="s">
        <v>34</v>
      </c>
      <c r="W99" s="127" t="s">
        <v>117</v>
      </c>
      <c r="X99" s="114" t="b">
        <f>EXACT(EDUVIAL_2023[[#This Row],[TOTAL SEXO]],EDUVIAL_2023[[#This Row],[TOTAL RANGOS]])</f>
        <v>1</v>
      </c>
      <c r="Y99" s="106"/>
    </row>
    <row r="100" spans="1:25" ht="28.9">
      <c r="A100" s="128">
        <v>45798</v>
      </c>
      <c r="B100" s="136" t="s">
        <v>238</v>
      </c>
      <c r="C100" s="74" t="s">
        <v>67</v>
      </c>
      <c r="D100" s="6" t="s">
        <v>226</v>
      </c>
      <c r="E100" s="7" t="s">
        <v>274</v>
      </c>
      <c r="F100" s="105" t="s">
        <v>43</v>
      </c>
      <c r="G100" s="23" t="s">
        <v>275</v>
      </c>
      <c r="H100" s="181" t="s">
        <v>152</v>
      </c>
      <c r="I100" s="105" t="s">
        <v>153</v>
      </c>
      <c r="J100" s="125">
        <v>170</v>
      </c>
      <c r="K100" s="125">
        <v>105</v>
      </c>
      <c r="L100" s="112">
        <f>EDUVIAL_2023[[#This Row],[HOMBRE]]+EDUVIAL_2023[[#This Row],[MUJER]]</f>
        <v>275</v>
      </c>
      <c r="M100" s="249">
        <v>100</v>
      </c>
      <c r="N100" s="106">
        <v>175</v>
      </c>
      <c r="O100" s="106">
        <v>0</v>
      </c>
      <c r="P100" s="106">
        <v>0</v>
      </c>
      <c r="Q100" s="106">
        <v>0</v>
      </c>
      <c r="R100" s="106">
        <v>0</v>
      </c>
      <c r="S100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275</v>
      </c>
      <c r="T100" s="120">
        <f>EDUVIAL_2023[[#This Row],[TOTAL SEXO]]</f>
        <v>275</v>
      </c>
      <c r="U100" s="119" t="s">
        <v>33</v>
      </c>
      <c r="V100" s="119" t="s">
        <v>34</v>
      </c>
      <c r="W100" s="127" t="s">
        <v>278</v>
      </c>
      <c r="X100" s="114" t="b">
        <f>EXACT(EDUVIAL_2023[[#This Row],[TOTAL SEXO]],EDUVIAL_2023[[#This Row],[TOTAL RANGOS]])</f>
        <v>1</v>
      </c>
      <c r="Y100" s="106"/>
    </row>
    <row r="101" spans="1:25" ht="43.15">
      <c r="A101" s="128">
        <v>45799</v>
      </c>
      <c r="B101" s="133" t="s">
        <v>238</v>
      </c>
      <c r="C101" s="74" t="s">
        <v>67</v>
      </c>
      <c r="D101" s="6" t="s">
        <v>226</v>
      </c>
      <c r="E101" s="7" t="s">
        <v>51</v>
      </c>
      <c r="F101" s="105" t="s">
        <v>43</v>
      </c>
      <c r="G101" s="23" t="s">
        <v>275</v>
      </c>
      <c r="H101" s="181" t="s">
        <v>71</v>
      </c>
      <c r="I101" s="105" t="s">
        <v>279</v>
      </c>
      <c r="J101" s="125">
        <v>200</v>
      </c>
      <c r="K101" s="125">
        <v>197</v>
      </c>
      <c r="L101" s="112">
        <f>EDUVIAL_2023[[#This Row],[HOMBRE]]+EDUVIAL_2023[[#This Row],[MUJER]]</f>
        <v>397</v>
      </c>
      <c r="M101" s="249">
        <v>0</v>
      </c>
      <c r="N101" s="106">
        <v>397</v>
      </c>
      <c r="O101" s="106">
        <v>0</v>
      </c>
      <c r="P101" s="106">
        <v>0</v>
      </c>
      <c r="Q101" s="106">
        <v>0</v>
      </c>
      <c r="R101" s="106">
        <v>0</v>
      </c>
      <c r="S101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397</v>
      </c>
      <c r="T101" s="120">
        <f>EDUVIAL_2023[[#This Row],[TOTAL SEXO]]</f>
        <v>397</v>
      </c>
      <c r="U101" s="119" t="s">
        <v>73</v>
      </c>
      <c r="V101" s="79" t="s">
        <v>74</v>
      </c>
      <c r="W101" s="127" t="s">
        <v>117</v>
      </c>
      <c r="X101" s="114" t="b">
        <f>EXACT(EDUVIAL_2023[[#This Row],[TOTAL SEXO]],EDUVIAL_2023[[#This Row],[TOTAL RANGOS]])</f>
        <v>1</v>
      </c>
      <c r="Y101" s="106"/>
    </row>
    <row r="102" spans="1:25" ht="43.15">
      <c r="A102" s="150">
        <v>45800</v>
      </c>
      <c r="B102" s="151" t="s">
        <v>238</v>
      </c>
      <c r="C102" s="74" t="s">
        <v>176</v>
      </c>
      <c r="D102" s="183" t="s">
        <v>226</v>
      </c>
      <c r="E102" s="178" t="s">
        <v>51</v>
      </c>
      <c r="F102" s="137" t="s">
        <v>43</v>
      </c>
      <c r="G102" s="152" t="s">
        <v>280</v>
      </c>
      <c r="H102" s="95" t="s">
        <v>130</v>
      </c>
      <c r="I102" s="137" t="s">
        <v>281</v>
      </c>
      <c r="J102" s="166">
        <v>40</v>
      </c>
      <c r="K102" s="166">
        <v>60</v>
      </c>
      <c r="L102" s="131">
        <f>EDUVIAL_2023[[#This Row],[HOMBRE]]+EDUVIAL_2023[[#This Row],[MUJER]]</f>
        <v>100</v>
      </c>
      <c r="M102" s="250">
        <v>100</v>
      </c>
      <c r="N102" s="116">
        <v>0</v>
      </c>
      <c r="O102" s="116">
        <v>0</v>
      </c>
      <c r="P102" s="116">
        <v>0</v>
      </c>
      <c r="Q102" s="116">
        <v>0</v>
      </c>
      <c r="R102" s="116">
        <v>0</v>
      </c>
      <c r="S102" s="164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100</v>
      </c>
      <c r="T102" s="132">
        <f>EDUVIAL_2023[[#This Row],[TOTAL SEXO]]</f>
        <v>100</v>
      </c>
      <c r="U102" s="138" t="s">
        <v>33</v>
      </c>
      <c r="V102" s="138" t="s">
        <v>34</v>
      </c>
      <c r="W102" s="95" t="s">
        <v>278</v>
      </c>
      <c r="X102" s="117" t="b">
        <f>EXACT(EDUVIAL_2023[[#This Row],[TOTAL SEXO]],EDUVIAL_2023[[#This Row],[TOTAL RANGOS]])</f>
        <v>1</v>
      </c>
      <c r="Y102" s="116"/>
    </row>
    <row r="103" spans="1:25" ht="28.9">
      <c r="A103" s="139">
        <v>45800</v>
      </c>
      <c r="B103" s="163" t="s">
        <v>238</v>
      </c>
      <c r="C103" s="184" t="s">
        <v>36</v>
      </c>
      <c r="D103" s="185" t="s">
        <v>217</v>
      </c>
      <c r="E103" s="179" t="s">
        <v>282</v>
      </c>
      <c r="F103" s="167" t="s">
        <v>43</v>
      </c>
      <c r="G103" s="168" t="s">
        <v>283</v>
      </c>
      <c r="H103" s="169" t="s">
        <v>284</v>
      </c>
      <c r="I103" s="170" t="s">
        <v>285</v>
      </c>
      <c r="J103" s="174">
        <v>30</v>
      </c>
      <c r="K103" s="174">
        <v>46</v>
      </c>
      <c r="L103" s="131">
        <f>EDUVIAL_2023[[#This Row],[HOMBRE]]+EDUVIAL_2023[[#This Row],[MUJER]]</f>
        <v>76</v>
      </c>
      <c r="M103" s="251">
        <v>0</v>
      </c>
      <c r="N103" s="171">
        <v>0</v>
      </c>
      <c r="O103" s="171">
        <v>0</v>
      </c>
      <c r="P103" s="171">
        <v>15</v>
      </c>
      <c r="Q103" s="171">
        <v>55</v>
      </c>
      <c r="R103" s="171">
        <v>6</v>
      </c>
      <c r="S103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76</v>
      </c>
      <c r="T103" s="120">
        <f>EDUVIAL_2023[[#This Row],[TOTAL SEXO]]</f>
        <v>76</v>
      </c>
      <c r="U103" s="172" t="s">
        <v>156</v>
      </c>
      <c r="V103" s="162" t="s">
        <v>222</v>
      </c>
      <c r="W103" s="186" t="s">
        <v>286</v>
      </c>
      <c r="X103" s="114" t="b">
        <f>EXACT(EDUVIAL_2023[[#This Row],[TOTAL SEXO]],EDUVIAL_2023[[#This Row],[TOTAL RANGOS]])</f>
        <v>1</v>
      </c>
      <c r="Y103" s="173"/>
    </row>
    <row r="104" spans="1:25" ht="28.9">
      <c r="A104" s="153">
        <v>45801</v>
      </c>
      <c r="B104" s="154" t="s">
        <v>238</v>
      </c>
      <c r="C104" s="187" t="s">
        <v>36</v>
      </c>
      <c r="D104" s="188" t="s">
        <v>217</v>
      </c>
      <c r="E104" s="180" t="s">
        <v>282</v>
      </c>
      <c r="F104" s="155" t="s">
        <v>43</v>
      </c>
      <c r="G104" s="156" t="s">
        <v>287</v>
      </c>
      <c r="H104" s="157" t="s">
        <v>284</v>
      </c>
      <c r="I104" s="158" t="s">
        <v>288</v>
      </c>
      <c r="J104" s="175">
        <v>25</v>
      </c>
      <c r="K104" s="175">
        <v>30</v>
      </c>
      <c r="L104" s="131">
        <f>EDUVIAL_2023[[#This Row],[HOMBRE]]+EDUVIAL_2023[[#This Row],[MUJER]]</f>
        <v>55</v>
      </c>
      <c r="M104" s="252">
        <v>0</v>
      </c>
      <c r="N104" s="159">
        <v>0</v>
      </c>
      <c r="O104" s="159">
        <v>0</v>
      </c>
      <c r="P104" s="159">
        <v>20</v>
      </c>
      <c r="Q104" s="159">
        <v>25</v>
      </c>
      <c r="R104" s="159">
        <v>10</v>
      </c>
      <c r="S10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55</v>
      </c>
      <c r="T104" s="120">
        <f>EDUVIAL_2023[[#This Row],[TOTAL SEXO]]</f>
        <v>55</v>
      </c>
      <c r="U104" s="160" t="s">
        <v>33</v>
      </c>
      <c r="V104" s="161" t="s">
        <v>34</v>
      </c>
      <c r="W104" s="189" t="s">
        <v>278</v>
      </c>
      <c r="X104" s="114" t="b">
        <f>EXACT(EDUVIAL_2023[[#This Row],[TOTAL SEXO]],EDUVIAL_2023[[#This Row],[TOTAL RANGOS]])</f>
        <v>1</v>
      </c>
      <c r="Y104" s="106"/>
    </row>
    <row r="105" spans="1:25" ht="28.9">
      <c r="A105" s="139">
        <v>45803</v>
      </c>
      <c r="B105" s="140" t="s">
        <v>238</v>
      </c>
      <c r="C105" s="190" t="s">
        <v>36</v>
      </c>
      <c r="D105" s="190" t="s">
        <v>37</v>
      </c>
      <c r="E105" s="176" t="s">
        <v>38</v>
      </c>
      <c r="F105" s="141" t="s">
        <v>43</v>
      </c>
      <c r="G105" s="142" t="s">
        <v>39</v>
      </c>
      <c r="H105" s="142" t="s">
        <v>40</v>
      </c>
      <c r="I105" s="146" t="s">
        <v>289</v>
      </c>
      <c r="J105" s="147">
        <v>1</v>
      </c>
      <c r="K105" s="147">
        <v>0</v>
      </c>
      <c r="L105" s="131">
        <f>EDUVIAL_2023[[#This Row],[HOMBRE]]+EDUVIAL_2023[[#This Row],[MUJER]]</f>
        <v>1</v>
      </c>
      <c r="M105" s="149">
        <v>0</v>
      </c>
      <c r="N105" s="148">
        <v>0</v>
      </c>
      <c r="O105" s="148">
        <v>0</v>
      </c>
      <c r="P105" s="148">
        <v>0</v>
      </c>
      <c r="Q105" s="148">
        <v>1</v>
      </c>
      <c r="R105" s="148">
        <v>0</v>
      </c>
      <c r="S10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105" s="120">
        <f>EDUVIAL_2023[[#This Row],[TOTAL SEXO]]</f>
        <v>1</v>
      </c>
      <c r="U105" s="144" t="s">
        <v>33</v>
      </c>
      <c r="V105" s="145" t="s">
        <v>34</v>
      </c>
      <c r="W105" s="186" t="s">
        <v>278</v>
      </c>
      <c r="X105" s="114" t="b">
        <f>EXACT(EDUVIAL_2023[[#This Row],[TOTAL SEXO]],EDUVIAL_2023[[#This Row],[TOTAL RANGOS]])</f>
        <v>1</v>
      </c>
      <c r="Y105" s="106"/>
    </row>
    <row r="106" spans="1:25" ht="43.15">
      <c r="A106" s="139">
        <v>45803</v>
      </c>
      <c r="B106" s="140" t="s">
        <v>238</v>
      </c>
      <c r="C106" s="74" t="s">
        <v>67</v>
      </c>
      <c r="D106" s="190" t="s">
        <v>254</v>
      </c>
      <c r="E106" s="179" t="s">
        <v>51</v>
      </c>
      <c r="F106" s="141" t="s">
        <v>43</v>
      </c>
      <c r="G106" s="143" t="s">
        <v>290</v>
      </c>
      <c r="H106" s="181" t="s">
        <v>87</v>
      </c>
      <c r="I106" s="146" t="s">
        <v>291</v>
      </c>
      <c r="J106" s="147">
        <v>57</v>
      </c>
      <c r="K106" s="147">
        <v>54</v>
      </c>
      <c r="L106" s="131">
        <f>EDUVIAL_2023[[#This Row],[HOMBRE]]+EDUVIAL_2023[[#This Row],[MUJER]]</f>
        <v>111</v>
      </c>
      <c r="M106" s="149">
        <v>0</v>
      </c>
      <c r="N106" s="148">
        <v>0</v>
      </c>
      <c r="O106" s="148">
        <v>111</v>
      </c>
      <c r="P106" s="148">
        <v>0</v>
      </c>
      <c r="Q106" s="148">
        <v>0</v>
      </c>
      <c r="R106" s="148">
        <v>0</v>
      </c>
      <c r="S10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111</v>
      </c>
      <c r="T106" s="120">
        <f>EDUVIAL_2023[[#This Row],[TOTAL SEXO]]</f>
        <v>111</v>
      </c>
      <c r="U106" s="79" t="str">
        <f>VLOOKUP(EDUVIAL_2023[[#This Row],[INSTITUCIÓN O EMPRESA]],LISTAS!$J$1:$M$81,3,0)</f>
        <v>Zona 8</v>
      </c>
      <c r="V106" s="79" t="s">
        <v>74</v>
      </c>
      <c r="W106" s="126" t="str">
        <f>VLOOKUP(EDUVIAL_2023[[#This Row],[INSTITUCIÓN O EMPRESA]],LISTAS!$J$1:$M$81,2,0)</f>
        <v>6.171594, -75.591214</v>
      </c>
      <c r="X106" s="114" t="b">
        <f>EXACT(EDUVIAL_2023[[#This Row],[TOTAL SEXO]],EDUVIAL_2023[[#This Row],[TOTAL RANGOS]])</f>
        <v>1</v>
      </c>
      <c r="Y106" s="106"/>
    </row>
    <row r="107" spans="1:25" ht="43.15">
      <c r="A107" s="139">
        <v>45804</v>
      </c>
      <c r="B107" s="140" t="s">
        <v>238</v>
      </c>
      <c r="C107" s="74" t="s">
        <v>67</v>
      </c>
      <c r="D107" s="190" t="s">
        <v>254</v>
      </c>
      <c r="E107" s="179" t="s">
        <v>51</v>
      </c>
      <c r="F107" s="141" t="s">
        <v>43</v>
      </c>
      <c r="G107" s="143" t="s">
        <v>292</v>
      </c>
      <c r="H107" s="181" t="s">
        <v>87</v>
      </c>
      <c r="I107" s="146" t="s">
        <v>291</v>
      </c>
      <c r="J107" s="147">
        <v>108</v>
      </c>
      <c r="K107" s="147">
        <v>100</v>
      </c>
      <c r="L107" s="131">
        <f>EDUVIAL_2023[[#This Row],[HOMBRE]]+EDUVIAL_2023[[#This Row],[MUJER]]</f>
        <v>208</v>
      </c>
      <c r="M107" s="149">
        <v>0</v>
      </c>
      <c r="N107" s="148">
        <v>0</v>
      </c>
      <c r="O107" s="148">
        <v>208</v>
      </c>
      <c r="P107" s="148">
        <v>0</v>
      </c>
      <c r="Q107" s="148">
        <v>0</v>
      </c>
      <c r="R107" s="148">
        <v>0</v>
      </c>
      <c r="S10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208</v>
      </c>
      <c r="T107" s="120">
        <f>EDUVIAL_2023[[#This Row],[TOTAL SEXO]]</f>
        <v>208</v>
      </c>
      <c r="U107" s="79" t="str">
        <f>VLOOKUP(EDUVIAL_2023[[#This Row],[INSTITUCIÓN O EMPRESA]],LISTAS!$J$1:$M$81,3,0)</f>
        <v>Zona 8</v>
      </c>
      <c r="V107" s="79" t="s">
        <v>74</v>
      </c>
      <c r="W107" s="126" t="str">
        <f>VLOOKUP(EDUVIAL_2023[[#This Row],[INSTITUCIÓN O EMPRESA]],LISTAS!$J$1:$M$81,2,0)</f>
        <v>6.171594, -75.591214</v>
      </c>
      <c r="X107" s="114" t="b">
        <f>EXACT(EDUVIAL_2023[[#This Row],[TOTAL SEXO]],EDUVIAL_2023[[#This Row],[TOTAL RANGOS]])</f>
        <v>1</v>
      </c>
      <c r="Y107" s="106"/>
    </row>
    <row r="108" spans="1:25" ht="43.15">
      <c r="A108" s="139">
        <v>45805</v>
      </c>
      <c r="B108" s="140" t="s">
        <v>238</v>
      </c>
      <c r="C108" s="74" t="s">
        <v>67</v>
      </c>
      <c r="D108" s="190" t="s">
        <v>254</v>
      </c>
      <c r="E108" s="179" t="s">
        <v>51</v>
      </c>
      <c r="F108" s="141" t="s">
        <v>43</v>
      </c>
      <c r="G108" s="143" t="s">
        <v>293</v>
      </c>
      <c r="H108" s="181" t="s">
        <v>87</v>
      </c>
      <c r="I108" s="146" t="s">
        <v>291</v>
      </c>
      <c r="J108" s="147">
        <v>60</v>
      </c>
      <c r="K108" s="147">
        <v>50</v>
      </c>
      <c r="L108" s="131">
        <f>EDUVIAL_2023[[#This Row],[HOMBRE]]+EDUVIAL_2023[[#This Row],[MUJER]]</f>
        <v>110</v>
      </c>
      <c r="M108" s="149">
        <v>0</v>
      </c>
      <c r="N108" s="148">
        <v>0</v>
      </c>
      <c r="O108" s="148">
        <v>110</v>
      </c>
      <c r="P108" s="148">
        <v>0</v>
      </c>
      <c r="Q108" s="148">
        <v>0</v>
      </c>
      <c r="R108" s="148">
        <v>0</v>
      </c>
      <c r="S108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110</v>
      </c>
      <c r="T108" s="120">
        <f>EDUVIAL_2023[[#This Row],[TOTAL SEXO]]</f>
        <v>110</v>
      </c>
      <c r="U108" s="79" t="str">
        <f>VLOOKUP(EDUVIAL_2023[[#This Row],[INSTITUCIÓN O EMPRESA]],LISTAS!$J$1:$M$81,3,0)</f>
        <v>Zona 8</v>
      </c>
      <c r="V108" s="79" t="s">
        <v>74</v>
      </c>
      <c r="W108" s="126" t="str">
        <f>VLOOKUP(EDUVIAL_2023[[#This Row],[INSTITUCIÓN O EMPRESA]],LISTAS!$J$1:$M$81,2,0)</f>
        <v>6.171594, -75.591214</v>
      </c>
      <c r="X108" s="114" t="b">
        <f>EXACT(EDUVIAL_2023[[#This Row],[TOTAL SEXO]],EDUVIAL_2023[[#This Row],[TOTAL RANGOS]])</f>
        <v>1</v>
      </c>
      <c r="Y108" s="106"/>
    </row>
    <row r="109" spans="1:25" ht="28.9">
      <c r="A109" s="150">
        <v>45805</v>
      </c>
      <c r="B109" s="115" t="s">
        <v>238</v>
      </c>
      <c r="C109" s="74" t="s">
        <v>67</v>
      </c>
      <c r="D109" s="129" t="s">
        <v>254</v>
      </c>
      <c r="E109" s="130" t="s">
        <v>51</v>
      </c>
      <c r="F109" s="129" t="s">
        <v>43</v>
      </c>
      <c r="G109" s="130" t="s">
        <v>294</v>
      </c>
      <c r="H109" s="181" t="s">
        <v>87</v>
      </c>
      <c r="I109" s="129" t="s">
        <v>291</v>
      </c>
      <c r="J109" s="166">
        <v>68</v>
      </c>
      <c r="K109" s="166">
        <v>59</v>
      </c>
      <c r="L109" s="131">
        <f>EDUVIAL_2023[[#This Row],[HOMBRE]]+EDUVIAL_2023[[#This Row],[MUJER]]</f>
        <v>127</v>
      </c>
      <c r="M109" s="250">
        <v>0</v>
      </c>
      <c r="N109" s="116">
        <v>0</v>
      </c>
      <c r="O109" s="116">
        <v>127</v>
      </c>
      <c r="P109" s="116">
        <v>0</v>
      </c>
      <c r="Q109" s="116">
        <v>0</v>
      </c>
      <c r="R109" s="116">
        <v>0</v>
      </c>
      <c r="S109" s="164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127</v>
      </c>
      <c r="T109" s="132">
        <f>EDUVIAL_2023[[#This Row],[TOTAL SEXO]]</f>
        <v>127</v>
      </c>
      <c r="U109" s="79" t="str">
        <f>VLOOKUP(EDUVIAL_2023[[#This Row],[INSTITUCIÓN O EMPRESA]],LISTAS!$J$1:$M$81,3,0)</f>
        <v>Zona 8</v>
      </c>
      <c r="V109" s="79" t="s">
        <v>74</v>
      </c>
      <c r="W109" s="126" t="str">
        <f>VLOOKUP(EDUVIAL_2023[[#This Row],[INSTITUCIÓN O EMPRESA]],LISTAS!$J$1:$M$81,2,0)</f>
        <v>6.171594, -75.591214</v>
      </c>
      <c r="X109" s="117" t="b">
        <f>EXACT(EDUVIAL_2023[[#This Row],[TOTAL SEXO]],EDUVIAL_2023[[#This Row],[TOTAL RANGOS]])</f>
        <v>1</v>
      </c>
      <c r="Y109" s="116"/>
    </row>
    <row r="110" spans="1:25" ht="28.9">
      <c r="A110" s="150">
        <v>45813</v>
      </c>
      <c r="B110" s="115" t="s">
        <v>295</v>
      </c>
      <c r="C110" s="74" t="s">
        <v>176</v>
      </c>
      <c r="D110" s="129" t="s">
        <v>226</v>
      </c>
      <c r="E110" s="130" t="s">
        <v>51</v>
      </c>
      <c r="F110" s="129" t="s">
        <v>240</v>
      </c>
      <c r="G110" s="130" t="s">
        <v>296</v>
      </c>
      <c r="H110" s="181" t="s">
        <v>98</v>
      </c>
      <c r="I110" s="129" t="s">
        <v>297</v>
      </c>
      <c r="J110" s="166">
        <v>42</v>
      </c>
      <c r="K110" s="166">
        <v>31</v>
      </c>
      <c r="L110" s="131">
        <f>EDUVIAL_2023[[#This Row],[HOMBRE]]+EDUVIAL_2023[[#This Row],[MUJER]]</f>
        <v>73</v>
      </c>
      <c r="M110" s="250">
        <v>0</v>
      </c>
      <c r="N110" s="116">
        <v>71</v>
      </c>
      <c r="O110" s="116">
        <v>0</v>
      </c>
      <c r="P110" s="116">
        <v>0</v>
      </c>
      <c r="Q110" s="116">
        <v>2</v>
      </c>
      <c r="R110" s="116">
        <v>0</v>
      </c>
      <c r="S110" s="164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73</v>
      </c>
      <c r="T110" s="132">
        <f>EDUVIAL_2023[[#This Row],[TOTAL SEXO]]</f>
        <v>73</v>
      </c>
      <c r="U110" s="106" t="s">
        <v>73</v>
      </c>
      <c r="V110" s="79" t="s">
        <v>74</v>
      </c>
      <c r="W110" s="126" t="s">
        <v>113</v>
      </c>
      <c r="X110" s="117" t="b">
        <f>EXACT(EDUVIAL_2023[[#This Row],[TOTAL SEXO]],EDUVIAL_2023[[#This Row],[TOTAL RANGOS]])</f>
        <v>1</v>
      </c>
      <c r="Y110" s="116"/>
    </row>
    <row r="111" spans="1:25" ht="28.9">
      <c r="A111" s="150">
        <v>45819</v>
      </c>
      <c r="B111" s="115" t="s">
        <v>295</v>
      </c>
      <c r="C111" s="74" t="s">
        <v>67</v>
      </c>
      <c r="D111" s="129" t="s">
        <v>298</v>
      </c>
      <c r="E111" s="130" t="s">
        <v>51</v>
      </c>
      <c r="F111" s="129" t="s">
        <v>240</v>
      </c>
      <c r="G111" s="130" t="s">
        <v>296</v>
      </c>
      <c r="H111" s="191" t="s">
        <v>299</v>
      </c>
      <c r="I111" s="129" t="s">
        <v>300</v>
      </c>
      <c r="J111" s="125">
        <v>40</v>
      </c>
      <c r="K111" s="125">
        <v>37</v>
      </c>
      <c r="L111" s="131">
        <f>EDUVIAL_2023[[#This Row],[HOMBRE]]+EDUVIAL_2023[[#This Row],[MUJER]]</f>
        <v>77</v>
      </c>
      <c r="M111" s="249">
        <v>0</v>
      </c>
      <c r="N111" s="106">
        <v>73</v>
      </c>
      <c r="O111" s="106">
        <v>0</v>
      </c>
      <c r="P111" s="106">
        <v>0</v>
      </c>
      <c r="Q111" s="106">
        <v>4</v>
      </c>
      <c r="R111" s="106">
        <v>0</v>
      </c>
      <c r="S111" s="164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77</v>
      </c>
      <c r="T111" s="120">
        <f>EDUVIAL_2023[[#This Row],[TOTAL SEXO]]</f>
        <v>77</v>
      </c>
      <c r="U111" s="138" t="s">
        <v>33</v>
      </c>
      <c r="V111" s="138" t="s">
        <v>34</v>
      </c>
      <c r="W111" s="95" t="s">
        <v>278</v>
      </c>
      <c r="X111" s="114" t="b">
        <f>EXACT(EDUVIAL_2023[[#This Row],[TOTAL SEXO]],EDUVIAL_2023[[#This Row],[TOTAL RANGOS]])</f>
        <v>1</v>
      </c>
      <c r="Y111" s="106"/>
    </row>
    <row r="112" spans="1:25" ht="15">
      <c r="A112" s="150">
        <v>45819</v>
      </c>
      <c r="B112" s="115" t="s">
        <v>295</v>
      </c>
      <c r="C112" s="74" t="s">
        <v>67</v>
      </c>
      <c r="D112" s="2" t="s">
        <v>101</v>
      </c>
      <c r="E112" s="4" t="s">
        <v>51</v>
      </c>
      <c r="F112" s="129" t="s">
        <v>43</v>
      </c>
      <c r="G112" s="130" t="s">
        <v>301</v>
      </c>
      <c r="H112" s="196" t="s">
        <v>188</v>
      </c>
      <c r="I112" s="129" t="s">
        <v>302</v>
      </c>
      <c r="J112" s="166">
        <v>2</v>
      </c>
      <c r="K112" s="166">
        <v>8</v>
      </c>
      <c r="L112" s="131">
        <f>EDUVIAL_2023[[#This Row],[HOMBRE]]+EDUVIAL_2023[[#This Row],[MUJER]]</f>
        <v>10</v>
      </c>
      <c r="M112" s="250">
        <v>0</v>
      </c>
      <c r="N112" s="116">
        <v>0</v>
      </c>
      <c r="O112" s="116">
        <v>0</v>
      </c>
      <c r="P112" s="116">
        <v>0</v>
      </c>
      <c r="Q112" s="116">
        <v>10</v>
      </c>
      <c r="R112" s="116">
        <v>0</v>
      </c>
      <c r="S112" s="164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10</v>
      </c>
      <c r="T112" s="132">
        <f>EDUVIAL_2023[[#This Row],[TOTAL SEXO]]</f>
        <v>10</v>
      </c>
      <c r="U112" s="116" t="s">
        <v>73</v>
      </c>
      <c r="V112" s="79" t="s">
        <v>74</v>
      </c>
      <c r="W112" s="75" t="s">
        <v>256</v>
      </c>
      <c r="X112" s="117" t="b">
        <f>EXACT(EDUVIAL_2023[[#This Row],[TOTAL SEXO]],EDUVIAL_2023[[#This Row],[TOTAL RANGOS]])</f>
        <v>1</v>
      </c>
      <c r="Y112" s="116"/>
    </row>
    <row r="113" spans="1:25" ht="28.9">
      <c r="A113" s="128">
        <v>45819</v>
      </c>
      <c r="B113" s="108" t="s">
        <v>295</v>
      </c>
      <c r="C113" s="74" t="s">
        <v>36</v>
      </c>
      <c r="D113" s="104" t="s">
        <v>77</v>
      </c>
      <c r="E113" s="121" t="s">
        <v>78</v>
      </c>
      <c r="F113" s="104" t="s">
        <v>79</v>
      </c>
      <c r="G113" s="121" t="s">
        <v>80</v>
      </c>
      <c r="H113" s="23" t="s">
        <v>40</v>
      </c>
      <c r="I113" s="104" t="s">
        <v>303</v>
      </c>
      <c r="J113" s="125">
        <v>2</v>
      </c>
      <c r="K113" s="125">
        <v>0</v>
      </c>
      <c r="L113" s="112">
        <f>EDUVIAL_2023[[#This Row],[HOMBRE]]+EDUVIAL_2023[[#This Row],[MUJER]]</f>
        <v>2</v>
      </c>
      <c r="M113" s="249">
        <v>0</v>
      </c>
      <c r="N113" s="106">
        <v>0</v>
      </c>
      <c r="O113" s="106">
        <v>0</v>
      </c>
      <c r="P113" s="106">
        <v>0</v>
      </c>
      <c r="Q113" s="106">
        <v>2</v>
      </c>
      <c r="R113" s="106">
        <v>0</v>
      </c>
      <c r="S113" s="164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</v>
      </c>
      <c r="T113" s="120">
        <f>EDUVIAL_2023[[#This Row],[TOTAL SEXO]]</f>
        <v>2</v>
      </c>
      <c r="U113" s="138" t="s">
        <v>33</v>
      </c>
      <c r="V113" s="138" t="s">
        <v>34</v>
      </c>
      <c r="W113" s="95" t="s">
        <v>278</v>
      </c>
      <c r="X113" s="114" t="b">
        <f>EXACT(EDUVIAL_2023[[#This Row],[TOTAL SEXO]],EDUVIAL_2023[[#This Row],[TOTAL RANGOS]])</f>
        <v>1</v>
      </c>
      <c r="Y113" s="106"/>
    </row>
    <row r="114" spans="1:25" ht="28.9">
      <c r="A114" s="128">
        <v>45819</v>
      </c>
      <c r="B114" s="108" t="s">
        <v>295</v>
      </c>
      <c r="C114" s="74" t="s">
        <v>36</v>
      </c>
      <c r="D114" s="6" t="s">
        <v>37</v>
      </c>
      <c r="E114" s="121" t="s">
        <v>38</v>
      </c>
      <c r="F114" s="105" t="s">
        <v>43</v>
      </c>
      <c r="G114" s="23" t="s">
        <v>39</v>
      </c>
      <c r="H114" s="23" t="s">
        <v>260</v>
      </c>
      <c r="I114" s="104" t="s">
        <v>304</v>
      </c>
      <c r="J114" s="125">
        <v>1</v>
      </c>
      <c r="K114" s="125">
        <v>0</v>
      </c>
      <c r="L114" s="112">
        <f>EDUVIAL_2023[[#This Row],[HOMBRE]]+EDUVIAL_2023[[#This Row],[MUJER]]</f>
        <v>1</v>
      </c>
      <c r="M114" s="249">
        <v>0</v>
      </c>
      <c r="N114" s="106">
        <v>0</v>
      </c>
      <c r="O114" s="106">
        <v>0</v>
      </c>
      <c r="P114" s="106">
        <v>0</v>
      </c>
      <c r="Q114" s="106">
        <v>1</v>
      </c>
      <c r="R114" s="106">
        <v>0</v>
      </c>
      <c r="S114" s="164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114" s="120">
        <f>EDUVIAL_2023[[#This Row],[TOTAL SEXO]]</f>
        <v>1</v>
      </c>
      <c r="U114" s="138" t="s">
        <v>33</v>
      </c>
      <c r="V114" s="138" t="s">
        <v>34</v>
      </c>
      <c r="W114" s="95" t="s">
        <v>278</v>
      </c>
      <c r="X114" s="114" t="b">
        <f>EXACT(EDUVIAL_2023[[#This Row],[TOTAL SEXO]],EDUVIAL_2023[[#This Row],[TOTAL RANGOS]])</f>
        <v>1</v>
      </c>
      <c r="Y114" s="106"/>
    </row>
    <row r="115" spans="1:25" ht="28.9">
      <c r="A115" s="150">
        <v>45820</v>
      </c>
      <c r="B115" s="115" t="s">
        <v>295</v>
      </c>
      <c r="C115" s="74" t="s">
        <v>49</v>
      </c>
      <c r="D115" s="6" t="s">
        <v>305</v>
      </c>
      <c r="E115" s="4" t="s">
        <v>51</v>
      </c>
      <c r="F115" s="129" t="s">
        <v>43</v>
      </c>
      <c r="G115" s="130" t="s">
        <v>306</v>
      </c>
      <c r="H115" s="130" t="s">
        <v>307</v>
      </c>
      <c r="I115" s="129" t="s">
        <v>308</v>
      </c>
      <c r="J115" s="166">
        <v>30</v>
      </c>
      <c r="K115" s="166">
        <v>8</v>
      </c>
      <c r="L115" s="131">
        <f>EDUVIAL_2023[[#This Row],[HOMBRE]]+EDUVIAL_2023[[#This Row],[MUJER]]</f>
        <v>38</v>
      </c>
      <c r="M115" s="250">
        <v>0</v>
      </c>
      <c r="N115" s="116">
        <v>0</v>
      </c>
      <c r="O115" s="116">
        <v>0</v>
      </c>
      <c r="P115" s="116">
        <v>4</v>
      </c>
      <c r="Q115" s="116">
        <v>34</v>
      </c>
      <c r="R115" s="116">
        <v>0</v>
      </c>
      <c r="S115" s="164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38</v>
      </c>
      <c r="T115" s="132">
        <f>EDUVIAL_2023[[#This Row],[TOTAL SEXO]]</f>
        <v>38</v>
      </c>
      <c r="U115" s="116" t="s">
        <v>64</v>
      </c>
      <c r="V115" s="79" t="s">
        <v>65</v>
      </c>
      <c r="W115" s="166" t="s">
        <v>309</v>
      </c>
      <c r="X115" s="117" t="b">
        <f>EXACT(EDUVIAL_2023[[#This Row],[TOTAL SEXO]],EDUVIAL_2023[[#This Row],[TOTAL RANGOS]])</f>
        <v>1</v>
      </c>
      <c r="Y115" s="116"/>
    </row>
    <row r="116" spans="1:25">
      <c r="A116" s="128">
        <v>45821</v>
      </c>
      <c r="B116" s="108" t="s">
        <v>295</v>
      </c>
      <c r="C116" s="74" t="s">
        <v>49</v>
      </c>
      <c r="D116" s="6" t="s">
        <v>305</v>
      </c>
      <c r="E116" s="4" t="s">
        <v>51</v>
      </c>
      <c r="F116" s="104" t="s">
        <v>43</v>
      </c>
      <c r="G116" s="121" t="s">
        <v>310</v>
      </c>
      <c r="H116" s="121" t="s">
        <v>311</v>
      </c>
      <c r="I116" s="104" t="s">
        <v>312</v>
      </c>
      <c r="J116" s="125">
        <v>5</v>
      </c>
      <c r="K116" s="125">
        <v>0</v>
      </c>
      <c r="L116" s="112">
        <f>EDUVIAL_2023[[#This Row],[HOMBRE]]+EDUVIAL_2023[[#This Row],[MUJER]]</f>
        <v>5</v>
      </c>
      <c r="M116" s="249">
        <v>0</v>
      </c>
      <c r="N116" s="106">
        <v>0</v>
      </c>
      <c r="O116" s="106">
        <v>0</v>
      </c>
      <c r="P116" s="106">
        <v>0</v>
      </c>
      <c r="Q116" s="106">
        <v>5</v>
      </c>
      <c r="R116" s="106">
        <v>0</v>
      </c>
      <c r="S116" s="164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5</v>
      </c>
      <c r="T116" s="120">
        <f>EDUVIAL_2023[[#This Row],[TOTAL SEXO]]</f>
        <v>5</v>
      </c>
      <c r="U116" s="138" t="s">
        <v>33</v>
      </c>
      <c r="V116" s="138" t="s">
        <v>34</v>
      </c>
      <c r="W116" s="95" t="s">
        <v>278</v>
      </c>
      <c r="X116" s="114" t="b">
        <f>EXACT(EDUVIAL_2023[[#This Row],[TOTAL SEXO]],EDUVIAL_2023[[#This Row],[TOTAL RANGOS]])</f>
        <v>1</v>
      </c>
      <c r="Y116" s="106"/>
    </row>
    <row r="117" spans="1:25" ht="28.9">
      <c r="A117" s="150">
        <v>45822</v>
      </c>
      <c r="B117" s="115" t="s">
        <v>295</v>
      </c>
      <c r="C117" s="73" t="s">
        <v>36</v>
      </c>
      <c r="D117" s="129" t="s">
        <v>27</v>
      </c>
      <c r="E117" s="4" t="s">
        <v>218</v>
      </c>
      <c r="F117" s="129" t="s">
        <v>43</v>
      </c>
      <c r="G117" s="130" t="s">
        <v>313</v>
      </c>
      <c r="H117" s="130" t="s">
        <v>314</v>
      </c>
      <c r="I117" s="129" t="s">
        <v>315</v>
      </c>
      <c r="J117" s="166">
        <v>180</v>
      </c>
      <c r="K117" s="166">
        <v>40</v>
      </c>
      <c r="L117" s="131">
        <f>EDUVIAL_2023[[#This Row],[HOMBRE]]+EDUVIAL_2023[[#This Row],[MUJER]]</f>
        <v>220</v>
      </c>
      <c r="M117" s="250">
        <v>0</v>
      </c>
      <c r="N117" s="116">
        <v>0</v>
      </c>
      <c r="O117" s="116">
        <v>0</v>
      </c>
      <c r="P117" s="116">
        <v>0</v>
      </c>
      <c r="Q117" s="116">
        <v>220</v>
      </c>
      <c r="R117" s="116">
        <v>0</v>
      </c>
      <c r="S117" s="164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220</v>
      </c>
      <c r="T117" s="132">
        <f>EDUVIAL_2023[[#This Row],[TOTAL SEXO]]</f>
        <v>220</v>
      </c>
      <c r="U117" s="138" t="s">
        <v>33</v>
      </c>
      <c r="V117" s="138" t="s">
        <v>34</v>
      </c>
      <c r="W117" s="19" t="s">
        <v>35</v>
      </c>
      <c r="X117" s="117" t="b">
        <f>EXACT(EDUVIAL_2023[[#This Row],[TOTAL SEXO]],EDUVIAL_2023[[#This Row],[TOTAL RANGOS]])</f>
        <v>1</v>
      </c>
      <c r="Y117" s="116"/>
    </row>
    <row r="118" spans="1:25" ht="28.9">
      <c r="A118" s="150">
        <v>45825</v>
      </c>
      <c r="B118" s="115" t="s">
        <v>295</v>
      </c>
      <c r="C118" s="74" t="s">
        <v>49</v>
      </c>
      <c r="D118" s="4" t="s">
        <v>50</v>
      </c>
      <c r="E118" s="11" t="s">
        <v>128</v>
      </c>
      <c r="F118" s="129" t="s">
        <v>43</v>
      </c>
      <c r="G118" s="130" t="s">
        <v>316</v>
      </c>
      <c r="H118" s="152" t="s">
        <v>317</v>
      </c>
      <c r="I118" s="137" t="s">
        <v>29</v>
      </c>
      <c r="J118" s="166">
        <v>115</v>
      </c>
      <c r="K118" s="166">
        <v>57</v>
      </c>
      <c r="L118" s="131">
        <f>EDUVIAL_2023[[#This Row],[HOMBRE]]+EDUVIAL_2023[[#This Row],[MUJER]]</f>
        <v>172</v>
      </c>
      <c r="M118" s="250">
        <v>0</v>
      </c>
      <c r="N118" s="116">
        <v>0</v>
      </c>
      <c r="O118" s="116">
        <v>0</v>
      </c>
      <c r="P118" s="116">
        <v>0</v>
      </c>
      <c r="Q118" s="116">
        <v>172</v>
      </c>
      <c r="R118" s="116">
        <v>0</v>
      </c>
      <c r="S118" s="164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172</v>
      </c>
      <c r="T118" s="132">
        <f>EDUVIAL_2023[[#This Row],[TOTAL SEXO]]</f>
        <v>172</v>
      </c>
      <c r="U118" s="116" t="s">
        <v>33</v>
      </c>
      <c r="V118" s="116" t="s">
        <v>34</v>
      </c>
      <c r="W118" s="95" t="s">
        <v>278</v>
      </c>
      <c r="X118" s="117" t="b">
        <f>EXACT(EDUVIAL_2023[[#This Row],[TOTAL SEXO]],EDUVIAL_2023[[#This Row],[TOTAL RANGOS]])</f>
        <v>1</v>
      </c>
      <c r="Y118" s="116"/>
    </row>
    <row r="119" spans="1:25" ht="28.9">
      <c r="A119" s="150">
        <v>45826</v>
      </c>
      <c r="B119" s="115" t="s">
        <v>295</v>
      </c>
      <c r="C119" s="74" t="s">
        <v>49</v>
      </c>
      <c r="D119" s="4" t="s">
        <v>50</v>
      </c>
      <c r="E119" s="11" t="s">
        <v>128</v>
      </c>
      <c r="F119" s="129" t="s">
        <v>43</v>
      </c>
      <c r="G119" s="130" t="s">
        <v>318</v>
      </c>
      <c r="H119" s="152" t="s">
        <v>317</v>
      </c>
      <c r="I119" s="137" t="s">
        <v>29</v>
      </c>
      <c r="J119" s="166">
        <v>17</v>
      </c>
      <c r="K119" s="166">
        <v>68</v>
      </c>
      <c r="L119" s="131">
        <f>EDUVIAL_2023[[#This Row],[HOMBRE]]+EDUVIAL_2023[[#This Row],[MUJER]]</f>
        <v>85</v>
      </c>
      <c r="M119" s="250">
        <v>0</v>
      </c>
      <c r="N119" s="116">
        <v>0</v>
      </c>
      <c r="O119" s="116">
        <v>0</v>
      </c>
      <c r="P119" s="116">
        <v>0</v>
      </c>
      <c r="Q119" s="116">
        <v>85</v>
      </c>
      <c r="R119" s="116">
        <v>0</v>
      </c>
      <c r="S119" s="164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85</v>
      </c>
      <c r="T119" s="132">
        <f>EDUVIAL_2023[[#This Row],[TOTAL SEXO]]</f>
        <v>85</v>
      </c>
      <c r="U119" s="116" t="s">
        <v>33</v>
      </c>
      <c r="V119" s="116" t="s">
        <v>34</v>
      </c>
      <c r="W119" s="95" t="s">
        <v>278</v>
      </c>
      <c r="X119" s="117" t="b">
        <f>EXACT(EDUVIAL_2023[[#This Row],[TOTAL SEXO]],EDUVIAL_2023[[#This Row],[TOTAL RANGOS]])</f>
        <v>1</v>
      </c>
      <c r="Y119" s="116"/>
    </row>
    <row r="120" spans="1:25" ht="28.9">
      <c r="A120" s="150">
        <v>45826</v>
      </c>
      <c r="B120" s="115" t="s">
        <v>295</v>
      </c>
      <c r="C120" s="74" t="s">
        <v>36</v>
      </c>
      <c r="D120" s="6" t="s">
        <v>37</v>
      </c>
      <c r="E120" s="121" t="s">
        <v>38</v>
      </c>
      <c r="F120" s="104" t="s">
        <v>43</v>
      </c>
      <c r="G120" s="23" t="s">
        <v>39</v>
      </c>
      <c r="H120" s="130" t="s">
        <v>314</v>
      </c>
      <c r="I120" s="104" t="s">
        <v>319</v>
      </c>
      <c r="J120" s="125">
        <v>1</v>
      </c>
      <c r="K120" s="125">
        <v>0</v>
      </c>
      <c r="L120" s="112">
        <f>EDUVIAL_2023[[#This Row],[HOMBRE]]+EDUVIAL_2023[[#This Row],[MUJER]]</f>
        <v>1</v>
      </c>
      <c r="M120" s="249">
        <v>0</v>
      </c>
      <c r="N120" s="106">
        <v>0</v>
      </c>
      <c r="O120" s="106">
        <v>0</v>
      </c>
      <c r="P120" s="106">
        <v>0</v>
      </c>
      <c r="Q120" s="106">
        <v>1</v>
      </c>
      <c r="R120" s="106">
        <v>0</v>
      </c>
      <c r="S120" s="164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120" s="120">
        <f>EDUVIAL_2023[[#This Row],[TOTAL SEXO]]</f>
        <v>1</v>
      </c>
      <c r="U120" s="116" t="s">
        <v>33</v>
      </c>
      <c r="V120" s="116" t="s">
        <v>34</v>
      </c>
      <c r="W120" s="95" t="s">
        <v>278</v>
      </c>
      <c r="X120" s="114" t="b">
        <f>EXACT(EDUVIAL_2023[[#This Row],[TOTAL SEXO]],EDUVIAL_2023[[#This Row],[TOTAL RANGOS]])</f>
        <v>1</v>
      </c>
      <c r="Y120" s="106"/>
    </row>
    <row r="121" spans="1:25" ht="28.9">
      <c r="A121" s="150">
        <v>45827</v>
      </c>
      <c r="B121" s="115" t="s">
        <v>295</v>
      </c>
      <c r="C121" s="74" t="s">
        <v>49</v>
      </c>
      <c r="D121" s="4" t="s">
        <v>50</v>
      </c>
      <c r="E121" s="11" t="s">
        <v>128</v>
      </c>
      <c r="F121" s="129" t="s">
        <v>43</v>
      </c>
      <c r="G121" s="130" t="s">
        <v>320</v>
      </c>
      <c r="H121" s="152" t="s">
        <v>321</v>
      </c>
      <c r="I121" s="137" t="s">
        <v>29</v>
      </c>
      <c r="J121" s="166">
        <v>6</v>
      </c>
      <c r="K121" s="166">
        <v>19</v>
      </c>
      <c r="L121" s="131">
        <f>EDUVIAL_2023[[#This Row],[HOMBRE]]+EDUVIAL_2023[[#This Row],[MUJER]]</f>
        <v>25</v>
      </c>
      <c r="M121" s="250">
        <v>0</v>
      </c>
      <c r="N121" s="116">
        <v>0</v>
      </c>
      <c r="O121" s="116">
        <v>0</v>
      </c>
      <c r="P121" s="116">
        <v>0</v>
      </c>
      <c r="Q121" s="116">
        <v>25</v>
      </c>
      <c r="R121" s="116">
        <v>0</v>
      </c>
      <c r="S121" s="164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25</v>
      </c>
      <c r="T121" s="132">
        <f>EDUVIAL_2023[[#This Row],[TOTAL SEXO]]</f>
        <v>25</v>
      </c>
      <c r="U121" s="116" t="s">
        <v>33</v>
      </c>
      <c r="V121" s="116" t="s">
        <v>34</v>
      </c>
      <c r="W121" s="95" t="s">
        <v>278</v>
      </c>
      <c r="X121" s="117" t="b">
        <f>EXACT(EDUVIAL_2023[[#This Row],[TOTAL SEXO]],EDUVIAL_2023[[#This Row],[TOTAL RANGOS]])</f>
        <v>1</v>
      </c>
      <c r="Y121" s="116"/>
    </row>
    <row r="122" spans="1:25" ht="28.9">
      <c r="A122" s="150">
        <v>45828</v>
      </c>
      <c r="B122" s="115" t="s">
        <v>295</v>
      </c>
      <c r="C122" s="74" t="s">
        <v>49</v>
      </c>
      <c r="D122" s="4" t="s">
        <v>50</v>
      </c>
      <c r="E122" s="11" t="s">
        <v>128</v>
      </c>
      <c r="F122" s="129" t="s">
        <v>43</v>
      </c>
      <c r="G122" s="192" t="s">
        <v>322</v>
      </c>
      <c r="H122" s="152" t="s">
        <v>323</v>
      </c>
      <c r="I122" s="137" t="s">
        <v>29</v>
      </c>
      <c r="J122" s="125">
        <v>55</v>
      </c>
      <c r="K122" s="125">
        <v>45</v>
      </c>
      <c r="L122" s="112">
        <f>EDUVIAL_2023[[#This Row],[HOMBRE]]+EDUVIAL_2023[[#This Row],[MUJER]]</f>
        <v>100</v>
      </c>
      <c r="M122" s="249">
        <v>0</v>
      </c>
      <c r="N122" s="106">
        <v>0</v>
      </c>
      <c r="O122" s="106">
        <v>0</v>
      </c>
      <c r="P122" s="106">
        <v>0</v>
      </c>
      <c r="Q122" s="106">
        <v>100</v>
      </c>
      <c r="R122" s="106">
        <v>0</v>
      </c>
      <c r="S122" s="164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100</v>
      </c>
      <c r="T122" s="120">
        <f>EDUVIAL_2023[[#This Row],[TOTAL SEXO]]</f>
        <v>100</v>
      </c>
      <c r="U122" s="106" t="s">
        <v>132</v>
      </c>
      <c r="V122" s="106" t="s">
        <v>324</v>
      </c>
      <c r="W122" s="75" t="s">
        <v>325</v>
      </c>
      <c r="X122" s="114" t="b">
        <f>EXACT(EDUVIAL_2023[[#This Row],[TOTAL SEXO]],EDUVIAL_2023[[#This Row],[TOTAL RANGOS]])</f>
        <v>1</v>
      </c>
      <c r="Y122" s="106"/>
    </row>
    <row r="123" spans="1:25" ht="43.15">
      <c r="A123" s="128">
        <v>45832</v>
      </c>
      <c r="B123" s="108" t="s">
        <v>295</v>
      </c>
      <c r="C123" s="74" t="s">
        <v>49</v>
      </c>
      <c r="D123" s="4" t="s">
        <v>50</v>
      </c>
      <c r="E123" s="11" t="s">
        <v>128</v>
      </c>
      <c r="F123" s="104" t="s">
        <v>43</v>
      </c>
      <c r="G123" s="192" t="s">
        <v>326</v>
      </c>
      <c r="H123" s="152" t="s">
        <v>327</v>
      </c>
      <c r="I123" s="137" t="s">
        <v>29</v>
      </c>
      <c r="J123" s="125">
        <v>9</v>
      </c>
      <c r="K123" s="125">
        <v>43</v>
      </c>
      <c r="L123" s="112">
        <f>EDUVIAL_2023[[#This Row],[HOMBRE]]+EDUVIAL_2023[[#This Row],[MUJER]]</f>
        <v>52</v>
      </c>
      <c r="M123" s="249">
        <v>0</v>
      </c>
      <c r="N123" s="106">
        <v>0</v>
      </c>
      <c r="O123" s="106">
        <v>0</v>
      </c>
      <c r="P123" s="106">
        <v>0</v>
      </c>
      <c r="Q123" s="106">
        <v>52</v>
      </c>
      <c r="R123" s="106">
        <v>0</v>
      </c>
      <c r="S123" s="164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52</v>
      </c>
      <c r="T123" s="120">
        <f>EDUVIAL_2023[[#This Row],[TOTAL SEXO]]</f>
        <v>52</v>
      </c>
      <c r="U123" s="106" t="s">
        <v>33</v>
      </c>
      <c r="V123" s="116" t="s">
        <v>34</v>
      </c>
      <c r="W123" s="95" t="s">
        <v>278</v>
      </c>
      <c r="X123" s="114" t="b">
        <f>EXACT(EDUVIAL_2023[[#This Row],[TOTAL SEXO]],EDUVIAL_2023[[#This Row],[TOTAL RANGOS]])</f>
        <v>1</v>
      </c>
      <c r="Y123" s="106"/>
    </row>
    <row r="124" spans="1:25">
      <c r="A124" s="128">
        <v>45832</v>
      </c>
      <c r="B124" s="108" t="s">
        <v>295</v>
      </c>
      <c r="C124" s="74" t="s">
        <v>49</v>
      </c>
      <c r="D124" s="4" t="s">
        <v>50</v>
      </c>
      <c r="E124" s="11" t="s">
        <v>128</v>
      </c>
      <c r="F124" s="104" t="s">
        <v>43</v>
      </c>
      <c r="G124" s="192" t="s">
        <v>328</v>
      </c>
      <c r="H124" s="152" t="s">
        <v>329</v>
      </c>
      <c r="I124" s="137" t="s">
        <v>29</v>
      </c>
      <c r="J124" s="125">
        <v>10</v>
      </c>
      <c r="K124" s="125">
        <v>15</v>
      </c>
      <c r="L124" s="112">
        <f>EDUVIAL_2023[[#This Row],[HOMBRE]]+EDUVIAL_2023[[#This Row],[MUJER]]</f>
        <v>25</v>
      </c>
      <c r="M124" s="249">
        <v>0</v>
      </c>
      <c r="N124" s="106">
        <v>0</v>
      </c>
      <c r="O124" s="106">
        <v>0</v>
      </c>
      <c r="P124" s="106">
        <v>0</v>
      </c>
      <c r="Q124" s="106">
        <v>25</v>
      </c>
      <c r="R124" s="106">
        <v>0</v>
      </c>
      <c r="S124" s="164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25</v>
      </c>
      <c r="T124" s="120">
        <f>EDUVIAL_2023[[#This Row],[TOTAL SEXO]]</f>
        <v>25</v>
      </c>
      <c r="U124" s="106" t="s">
        <v>33</v>
      </c>
      <c r="V124" s="116" t="s">
        <v>34</v>
      </c>
      <c r="W124" s="95" t="s">
        <v>278</v>
      </c>
      <c r="X124" s="114" t="b">
        <f>EXACT(EDUVIAL_2023[[#This Row],[TOTAL SEXO]],EDUVIAL_2023[[#This Row],[TOTAL RANGOS]])</f>
        <v>1</v>
      </c>
      <c r="Y124" s="106"/>
    </row>
    <row r="125" spans="1:25" ht="28.9">
      <c r="A125" s="128">
        <v>45832</v>
      </c>
      <c r="B125" s="108" t="s">
        <v>295</v>
      </c>
      <c r="C125" s="74" t="s">
        <v>49</v>
      </c>
      <c r="D125" s="4" t="s">
        <v>50</v>
      </c>
      <c r="E125" s="11" t="s">
        <v>128</v>
      </c>
      <c r="F125" s="104" t="s">
        <v>43</v>
      </c>
      <c r="G125" s="192" t="s">
        <v>330</v>
      </c>
      <c r="H125" s="152" t="s">
        <v>331</v>
      </c>
      <c r="I125" s="137" t="s">
        <v>29</v>
      </c>
      <c r="J125" s="125">
        <v>18</v>
      </c>
      <c r="K125" s="125">
        <v>2</v>
      </c>
      <c r="L125" s="112">
        <f>EDUVIAL_2023[[#This Row],[HOMBRE]]+EDUVIAL_2023[[#This Row],[MUJER]]</f>
        <v>20</v>
      </c>
      <c r="M125" s="249">
        <v>0</v>
      </c>
      <c r="N125" s="106">
        <v>0</v>
      </c>
      <c r="O125" s="106">
        <v>0</v>
      </c>
      <c r="P125" s="106">
        <v>0</v>
      </c>
      <c r="Q125" s="106">
        <v>20</v>
      </c>
      <c r="R125" s="106">
        <v>0</v>
      </c>
      <c r="S125" s="164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20</v>
      </c>
      <c r="T125" s="120">
        <f>EDUVIAL_2023[[#This Row],[TOTAL SEXO]]</f>
        <v>20</v>
      </c>
      <c r="U125" s="106" t="s">
        <v>33</v>
      </c>
      <c r="V125" s="116" t="s">
        <v>34</v>
      </c>
      <c r="W125" s="95" t="s">
        <v>278</v>
      </c>
      <c r="X125" s="114" t="b">
        <f>EXACT(EDUVIAL_2023[[#This Row],[TOTAL SEXO]],EDUVIAL_2023[[#This Row],[TOTAL RANGOS]])</f>
        <v>1</v>
      </c>
      <c r="Y125" s="106"/>
    </row>
    <row r="126" spans="1:25" ht="28.9">
      <c r="A126" s="128">
        <v>45832</v>
      </c>
      <c r="B126" s="108" t="s">
        <v>295</v>
      </c>
      <c r="C126" s="74" t="s">
        <v>49</v>
      </c>
      <c r="D126" s="4" t="s">
        <v>50</v>
      </c>
      <c r="E126" s="11" t="s">
        <v>128</v>
      </c>
      <c r="F126" s="104" t="s">
        <v>43</v>
      </c>
      <c r="G126" s="192" t="s">
        <v>332</v>
      </c>
      <c r="H126" s="152" t="s">
        <v>333</v>
      </c>
      <c r="I126" s="137" t="s">
        <v>29</v>
      </c>
      <c r="J126" s="125">
        <v>12</v>
      </c>
      <c r="K126" s="125">
        <v>10</v>
      </c>
      <c r="L126" s="112">
        <f>EDUVIAL_2023[[#This Row],[HOMBRE]]+EDUVIAL_2023[[#This Row],[MUJER]]</f>
        <v>22</v>
      </c>
      <c r="M126" s="249">
        <v>0</v>
      </c>
      <c r="N126" s="106">
        <v>0</v>
      </c>
      <c r="O126" s="106">
        <v>0</v>
      </c>
      <c r="P126" s="106">
        <v>0</v>
      </c>
      <c r="Q126" s="106">
        <v>22</v>
      </c>
      <c r="R126" s="106">
        <v>0</v>
      </c>
      <c r="S126" s="164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22</v>
      </c>
      <c r="T126" s="120">
        <f>EDUVIAL_2023[[#This Row],[TOTAL SEXO]]</f>
        <v>22</v>
      </c>
      <c r="U126" s="106" t="s">
        <v>33</v>
      </c>
      <c r="V126" s="116" t="s">
        <v>34</v>
      </c>
      <c r="W126" s="95" t="s">
        <v>278</v>
      </c>
      <c r="X126" s="114" t="b">
        <f>EXACT(EDUVIAL_2023[[#This Row],[TOTAL SEXO]],EDUVIAL_2023[[#This Row],[TOTAL RANGOS]])</f>
        <v>1</v>
      </c>
      <c r="Y126" s="106"/>
    </row>
    <row r="127" spans="1:25" ht="28.9">
      <c r="A127" s="128">
        <v>45832</v>
      </c>
      <c r="B127" s="108" t="s">
        <v>295</v>
      </c>
      <c r="C127" s="74" t="s">
        <v>49</v>
      </c>
      <c r="D127" s="4" t="s">
        <v>50</v>
      </c>
      <c r="E127" s="11" t="s">
        <v>128</v>
      </c>
      <c r="F127" s="104" t="s">
        <v>43</v>
      </c>
      <c r="G127" s="192" t="s">
        <v>334</v>
      </c>
      <c r="H127" s="152" t="s">
        <v>335</v>
      </c>
      <c r="I127" s="137" t="s">
        <v>29</v>
      </c>
      <c r="J127" s="125">
        <v>9</v>
      </c>
      <c r="K127" s="125">
        <v>16</v>
      </c>
      <c r="L127" s="112">
        <f>EDUVIAL_2023[[#This Row],[HOMBRE]]+EDUVIAL_2023[[#This Row],[MUJER]]</f>
        <v>25</v>
      </c>
      <c r="M127" s="249">
        <v>0</v>
      </c>
      <c r="N127" s="106">
        <v>0</v>
      </c>
      <c r="O127" s="106">
        <v>0</v>
      </c>
      <c r="P127" s="106">
        <v>0</v>
      </c>
      <c r="Q127" s="106">
        <v>25</v>
      </c>
      <c r="R127" s="106">
        <v>0</v>
      </c>
      <c r="S127" s="164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25</v>
      </c>
      <c r="T127" s="120">
        <f>EDUVIAL_2023[[#This Row],[TOTAL SEXO]]</f>
        <v>25</v>
      </c>
      <c r="U127" s="106" t="s">
        <v>33</v>
      </c>
      <c r="V127" s="116" t="s">
        <v>34</v>
      </c>
      <c r="W127" s="95" t="s">
        <v>278</v>
      </c>
      <c r="X127" s="114" t="b">
        <f>EXACT(EDUVIAL_2023[[#This Row],[TOTAL SEXO]],EDUVIAL_2023[[#This Row],[TOTAL RANGOS]])</f>
        <v>1</v>
      </c>
      <c r="Y127" s="106"/>
    </row>
    <row r="128" spans="1:25" ht="28.9">
      <c r="A128" s="128">
        <v>45832</v>
      </c>
      <c r="B128" s="108" t="s">
        <v>295</v>
      </c>
      <c r="C128" s="74" t="s">
        <v>49</v>
      </c>
      <c r="D128" s="4" t="s">
        <v>50</v>
      </c>
      <c r="E128" s="11" t="s">
        <v>128</v>
      </c>
      <c r="F128" s="104" t="s">
        <v>43</v>
      </c>
      <c r="G128" s="192" t="s">
        <v>336</v>
      </c>
      <c r="H128" s="130" t="s">
        <v>314</v>
      </c>
      <c r="I128" s="137" t="s">
        <v>29</v>
      </c>
      <c r="J128" s="125">
        <v>10</v>
      </c>
      <c r="K128" s="125">
        <v>2</v>
      </c>
      <c r="L128" s="112">
        <f>EDUVIAL_2023[[#This Row],[HOMBRE]]+EDUVIAL_2023[[#This Row],[MUJER]]</f>
        <v>12</v>
      </c>
      <c r="M128" s="249">
        <v>0</v>
      </c>
      <c r="N128" s="106">
        <v>0</v>
      </c>
      <c r="O128" s="106">
        <v>0</v>
      </c>
      <c r="P128" s="106">
        <v>0</v>
      </c>
      <c r="Q128" s="106">
        <v>12</v>
      </c>
      <c r="R128" s="106">
        <v>0</v>
      </c>
      <c r="S128" s="164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12</v>
      </c>
      <c r="T128" s="120">
        <f>EDUVIAL_2023[[#This Row],[TOTAL SEXO]]</f>
        <v>12</v>
      </c>
      <c r="U128" s="106" t="s">
        <v>33</v>
      </c>
      <c r="V128" s="116" t="s">
        <v>34</v>
      </c>
      <c r="W128" s="95" t="s">
        <v>278</v>
      </c>
      <c r="X128" s="114" t="b">
        <f>EXACT(EDUVIAL_2023[[#This Row],[TOTAL SEXO]],EDUVIAL_2023[[#This Row],[TOTAL RANGOS]])</f>
        <v>1</v>
      </c>
      <c r="Y128" s="106"/>
    </row>
    <row r="129" spans="1:25" ht="28.9">
      <c r="A129" s="194">
        <v>45833</v>
      </c>
      <c r="B129" s="195" t="s">
        <v>295</v>
      </c>
      <c r="C129" s="74" t="s">
        <v>67</v>
      </c>
      <c r="D129" s="104" t="s">
        <v>101</v>
      </c>
      <c r="E129" s="4" t="s">
        <v>51</v>
      </c>
      <c r="F129" s="193" t="s">
        <v>43</v>
      </c>
      <c r="G129" s="192" t="s">
        <v>337</v>
      </c>
      <c r="H129" s="181" t="s">
        <v>338</v>
      </c>
      <c r="I129" s="24" t="s">
        <v>339</v>
      </c>
      <c r="J129" s="125">
        <v>13</v>
      </c>
      <c r="K129" s="125">
        <v>27</v>
      </c>
      <c r="L129" s="112">
        <f>EDUVIAL_2023[[#This Row],[HOMBRE]]+EDUVIAL_2023[[#This Row],[MUJER]]</f>
        <v>40</v>
      </c>
      <c r="M129" s="249">
        <v>0</v>
      </c>
      <c r="N129" s="106">
        <v>0</v>
      </c>
      <c r="O129" s="106">
        <v>0</v>
      </c>
      <c r="P129" s="106">
        <v>7</v>
      </c>
      <c r="Q129" s="106">
        <v>26</v>
      </c>
      <c r="R129" s="106">
        <v>7</v>
      </c>
      <c r="S129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40</v>
      </c>
      <c r="T129" s="120">
        <f>EDUVIAL_2023[[#This Row],[TOTAL SEXO]]</f>
        <v>40</v>
      </c>
      <c r="U129" s="79" t="str">
        <f>VLOOKUP(EDUVIAL_2023[[#This Row],[INSTITUCIÓN O EMPRESA]],LISTAS!$J$1:$M$85,3,0)</f>
        <v>Zona 9</v>
      </c>
      <c r="V129" s="79" t="str">
        <f>VLOOKUP(EDUVIAL_2023[[#This Row],[INSTITUCIÓN O EMPRESA]],LISTAS!$J$1:$M$85,4,0)</f>
        <v>Centro</v>
      </c>
      <c r="W129" s="126" t="str">
        <f>VLOOKUP(EDUVIAL_2023[[#This Row],[INSTITUCIÓN O EMPRESA]],LISTAS!$J$1:$M$85,2,0)</f>
        <v>6.165163198833833, -75.58687524365986</v>
      </c>
      <c r="X129" s="114" t="b">
        <f>EXACT(EDUVIAL_2023[[#This Row],[TOTAL SEXO]],EDUVIAL_2023[[#This Row],[TOTAL RANGOS]])</f>
        <v>1</v>
      </c>
      <c r="Y129" s="106"/>
    </row>
    <row r="130" spans="1:25" ht="28.9">
      <c r="A130" s="128">
        <v>45834</v>
      </c>
      <c r="B130" s="108" t="s">
        <v>295</v>
      </c>
      <c r="C130" s="74" t="s">
        <v>49</v>
      </c>
      <c r="D130" s="104" t="s">
        <v>50</v>
      </c>
      <c r="E130" s="4" t="s">
        <v>51</v>
      </c>
      <c r="F130" s="4" t="s">
        <v>240</v>
      </c>
      <c r="G130" s="23" t="s">
        <v>114</v>
      </c>
      <c r="H130" s="181" t="s">
        <v>340</v>
      </c>
      <c r="I130" s="104" t="s">
        <v>341</v>
      </c>
      <c r="J130" s="125">
        <v>9</v>
      </c>
      <c r="K130" s="125">
        <v>1</v>
      </c>
      <c r="L130" s="112">
        <f>EDUVIAL_2023[[#This Row],[HOMBRE]]+EDUVIAL_2023[[#This Row],[MUJER]]</f>
        <v>10</v>
      </c>
      <c r="M130" s="249">
        <v>0</v>
      </c>
      <c r="N130" s="106">
        <v>0</v>
      </c>
      <c r="O130" s="106">
        <v>0</v>
      </c>
      <c r="P130" s="106">
        <v>1</v>
      </c>
      <c r="Q130" s="106">
        <v>9</v>
      </c>
      <c r="R130" s="106">
        <v>0</v>
      </c>
      <c r="S130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10</v>
      </c>
      <c r="T130" s="120">
        <f>EDUVIAL_2023[[#This Row],[TOTAL SEXO]]</f>
        <v>10</v>
      </c>
      <c r="U130" s="79" t="str">
        <f>VLOOKUP(EDUVIAL_2023[[#This Row],[INSTITUCIÓN O EMPRESA]],LISTAS!$J$1:$M$85,3,0)</f>
        <v>Zona 9</v>
      </c>
      <c r="V130" s="79" t="str">
        <f>VLOOKUP(EDUVIAL_2023[[#This Row],[INSTITUCIÓN O EMPRESA]],LISTAS!$J$1:$M$85,4,0)</f>
        <v>Centro</v>
      </c>
      <c r="W130" s="126" t="str">
        <f>VLOOKUP(EDUVIAL_2023[[#This Row],[INSTITUCIÓN O EMPRESA]],LISTAS!$J$1:$M$85,2,0)</f>
        <v>6.168450558868997, -75.5896412723252</v>
      </c>
      <c r="X130" s="114" t="b">
        <f>EXACT(EDUVIAL_2023[[#This Row],[TOTAL SEXO]],EDUVIAL_2023[[#This Row],[TOTAL RANGOS]])</f>
        <v>1</v>
      </c>
      <c r="Y130" s="106"/>
    </row>
    <row r="131" spans="1:25" ht="43.15">
      <c r="A131" s="128">
        <v>45840</v>
      </c>
      <c r="B131" s="108" t="s">
        <v>342</v>
      </c>
      <c r="C131" s="74" t="s">
        <v>67</v>
      </c>
      <c r="D131" s="104" t="s">
        <v>86</v>
      </c>
      <c r="E131" s="4" t="s">
        <v>51</v>
      </c>
      <c r="F131" s="4" t="s">
        <v>43</v>
      </c>
      <c r="G131" s="23" t="s">
        <v>343</v>
      </c>
      <c r="H131" s="181" t="s">
        <v>344</v>
      </c>
      <c r="I131" s="104" t="s">
        <v>345</v>
      </c>
      <c r="J131" s="125">
        <v>10</v>
      </c>
      <c r="K131" s="125">
        <v>15</v>
      </c>
      <c r="L131" s="112">
        <f>EDUVIAL_2023[[#This Row],[HOMBRE]]+EDUVIAL_2023[[#This Row],[MUJER]]</f>
        <v>25</v>
      </c>
      <c r="M131" s="249">
        <v>0</v>
      </c>
      <c r="N131" s="106">
        <v>0</v>
      </c>
      <c r="O131" s="106">
        <v>0</v>
      </c>
      <c r="P131" s="106">
        <v>0</v>
      </c>
      <c r="Q131" s="106">
        <v>25</v>
      </c>
      <c r="R131" s="106">
        <v>0</v>
      </c>
      <c r="S131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25</v>
      </c>
      <c r="T131" s="120">
        <f>EDUVIAL_2023[[#This Row],[TOTAL SEXO]]</f>
        <v>25</v>
      </c>
      <c r="U131" s="79" t="str">
        <f>VLOOKUP(EDUVIAL_2023[[#This Row],[INSTITUCIÓN O EMPRESA]],LISTAS!$J$1:$M$85,3,0)</f>
        <v>Zona 6</v>
      </c>
      <c r="V131" s="79" t="str">
        <f>VLOOKUP(EDUVIAL_2023[[#This Row],[INSTITUCIÓN O EMPRESA]],LISTAS!$J$1:$M$85,4,0)</f>
        <v>El Salado</v>
      </c>
      <c r="W131" s="126" t="str">
        <f>VLOOKUP(EDUVIAL_2023[[#This Row],[INSTITUCIÓN O EMPRESA]],LISTAS!$J$1:$M$85,2,0)</f>
        <v>6.153244, -75.577675</v>
      </c>
      <c r="X131" s="114" t="b">
        <f>EXACT(EDUVIAL_2023[[#This Row],[TOTAL SEXO]],EDUVIAL_2023[[#This Row],[TOTAL RANGOS]])</f>
        <v>1</v>
      </c>
      <c r="Y131" s="106"/>
    </row>
    <row r="132" spans="1:25" ht="43.15">
      <c r="A132" s="128">
        <v>45840</v>
      </c>
      <c r="B132" s="108" t="s">
        <v>342</v>
      </c>
      <c r="C132" s="74" t="s">
        <v>67</v>
      </c>
      <c r="D132" s="104" t="s">
        <v>86</v>
      </c>
      <c r="E132" s="4" t="s">
        <v>51</v>
      </c>
      <c r="F132" s="4" t="s">
        <v>346</v>
      </c>
      <c r="G132" s="23" t="s">
        <v>347</v>
      </c>
      <c r="H132" s="181" t="s">
        <v>348</v>
      </c>
      <c r="I132" s="104" t="s">
        <v>349</v>
      </c>
      <c r="J132" s="125">
        <v>3</v>
      </c>
      <c r="K132" s="125">
        <v>9</v>
      </c>
      <c r="L132" s="112">
        <f>EDUVIAL_2023[[#This Row],[HOMBRE]]+EDUVIAL_2023[[#This Row],[MUJER]]</f>
        <v>12</v>
      </c>
      <c r="M132" s="249">
        <v>0</v>
      </c>
      <c r="N132" s="106">
        <v>0</v>
      </c>
      <c r="O132" s="106">
        <v>0</v>
      </c>
      <c r="P132" s="106">
        <v>0</v>
      </c>
      <c r="Q132" s="106">
        <v>12</v>
      </c>
      <c r="R132" s="106">
        <v>0</v>
      </c>
      <c r="S132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12</v>
      </c>
      <c r="T132" s="120">
        <f>EDUVIAL_2023[[#This Row],[TOTAL SEXO]]</f>
        <v>12</v>
      </c>
      <c r="U132" s="79" t="str">
        <f>VLOOKUP(EDUVIAL_2023[[#This Row],[INSTITUCIÓN O EMPRESA]],LISTAS!$J$1:$M$85,3,0)</f>
        <v>Zona 5</v>
      </c>
      <c r="V132" s="79" t="str">
        <f>VLOOKUP(EDUVIAL_2023[[#This Row],[INSTITUCIÓN O EMPRESA]],LISTAS!$J$1:$M$85,4,0)</f>
        <v>La Inmaculada</v>
      </c>
      <c r="W132" s="126" t="str">
        <f>VLOOKUP(EDUVIAL_2023[[#This Row],[INSTITUCIÓN O EMPRESA]],LISTAS!$J$1:$M$85,2,0)</f>
        <v>6.167951, -75.578449</v>
      </c>
      <c r="X132" s="114" t="b">
        <f>EXACT(EDUVIAL_2023[[#This Row],[TOTAL SEXO]],EDUVIAL_2023[[#This Row],[TOTAL RANGOS]])</f>
        <v>1</v>
      </c>
      <c r="Y132" s="106"/>
    </row>
    <row r="133" spans="1:25" ht="28.9">
      <c r="A133" s="128">
        <v>45840</v>
      </c>
      <c r="B133" s="108" t="s">
        <v>342</v>
      </c>
      <c r="C133" s="74" t="s">
        <v>67</v>
      </c>
      <c r="D133" s="104" t="s">
        <v>137</v>
      </c>
      <c r="E133" s="4" t="s">
        <v>227</v>
      </c>
      <c r="F133" s="4" t="s">
        <v>43</v>
      </c>
      <c r="G133" s="121" t="s">
        <v>350</v>
      </c>
      <c r="H133" s="181" t="s">
        <v>340</v>
      </c>
      <c r="I133" s="104" t="s">
        <v>92</v>
      </c>
      <c r="J133" s="125">
        <v>3</v>
      </c>
      <c r="K133" s="125">
        <v>1</v>
      </c>
      <c r="L133" s="112">
        <f>EDUVIAL_2023[[#This Row],[HOMBRE]]+EDUVIAL_2023[[#This Row],[MUJER]]</f>
        <v>4</v>
      </c>
      <c r="M133" s="249">
        <v>0</v>
      </c>
      <c r="N133" s="106">
        <v>0</v>
      </c>
      <c r="O133" s="106">
        <v>0</v>
      </c>
      <c r="P133" s="106">
        <v>0</v>
      </c>
      <c r="Q133" s="106">
        <v>4</v>
      </c>
      <c r="R133" s="106">
        <v>0</v>
      </c>
      <c r="S133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4</v>
      </c>
      <c r="T133" s="120">
        <f>EDUVIAL_2023[[#This Row],[TOTAL SEXO]]</f>
        <v>4</v>
      </c>
      <c r="U133" s="79" t="str">
        <f>VLOOKUP(EDUVIAL_2023[[#This Row],[INSTITUCIÓN O EMPRESA]],LISTAS!$J$1:$M$85,3,0)</f>
        <v>Zona 9</v>
      </c>
      <c r="V133" s="79" t="str">
        <f>VLOOKUP(EDUVIAL_2023[[#This Row],[INSTITUCIÓN O EMPRESA]],LISTAS!$J$1:$M$85,4,0)</f>
        <v>Centro</v>
      </c>
      <c r="W133" s="126" t="str">
        <f>VLOOKUP(EDUVIAL_2023[[#This Row],[INSTITUCIÓN O EMPRESA]],LISTAS!$J$1:$M$85,2,0)</f>
        <v>6.168450558868997, -75.5896412723252</v>
      </c>
      <c r="X133" s="114" t="b">
        <f>EXACT(EDUVIAL_2023[[#This Row],[TOTAL SEXO]],EDUVIAL_2023[[#This Row],[TOTAL RANGOS]])</f>
        <v>1</v>
      </c>
      <c r="Y133" s="106"/>
    </row>
    <row r="134" spans="1:25" ht="43.15">
      <c r="A134" s="128">
        <v>45841</v>
      </c>
      <c r="B134" s="108" t="s">
        <v>342</v>
      </c>
      <c r="C134" s="74" t="s">
        <v>67</v>
      </c>
      <c r="D134" s="104" t="s">
        <v>86</v>
      </c>
      <c r="E134" s="4" t="s">
        <v>51</v>
      </c>
      <c r="F134" s="4" t="s">
        <v>43</v>
      </c>
      <c r="G134" s="23" t="s">
        <v>351</v>
      </c>
      <c r="H134" s="181" t="s">
        <v>188</v>
      </c>
      <c r="I134" s="104" t="s">
        <v>352</v>
      </c>
      <c r="J134" s="125">
        <v>7</v>
      </c>
      <c r="K134" s="125">
        <v>27</v>
      </c>
      <c r="L134" s="112">
        <f>EDUVIAL_2023[[#This Row],[HOMBRE]]+EDUVIAL_2023[[#This Row],[MUJER]]</f>
        <v>34</v>
      </c>
      <c r="M134" s="249">
        <v>0</v>
      </c>
      <c r="N134" s="106">
        <v>0</v>
      </c>
      <c r="O134" s="106">
        <v>0</v>
      </c>
      <c r="P134" s="106">
        <v>1</v>
      </c>
      <c r="Q134" s="106">
        <v>31</v>
      </c>
      <c r="R134" s="106">
        <v>2</v>
      </c>
      <c r="S13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34</v>
      </c>
      <c r="T134" s="120">
        <f>EDUVIAL_2023[[#This Row],[TOTAL SEXO]]</f>
        <v>34</v>
      </c>
      <c r="U134" s="79" t="str">
        <f>VLOOKUP(EDUVIAL_2023[[#This Row],[INSTITUCIÓN O EMPRESA]],LISTAS!$J$1:$M$85,3,0)</f>
        <v>Zona 8</v>
      </c>
      <c r="V134" s="79" t="s">
        <v>74</v>
      </c>
      <c r="W134" s="126" t="str">
        <f>VLOOKUP(EDUVIAL_2023[[#This Row],[INSTITUCIÓN O EMPRESA]],LISTAS!$J$1:$M$85,2,0)</f>
        <v>6.170375, -75.589731</v>
      </c>
      <c r="X134" s="114" t="b">
        <f>EXACT(EDUVIAL_2023[[#This Row],[TOTAL SEXO]],EDUVIAL_2023[[#This Row],[TOTAL RANGOS]])</f>
        <v>1</v>
      </c>
      <c r="Y134" s="106"/>
    </row>
    <row r="135" spans="1:25" ht="28.9">
      <c r="A135" s="128">
        <v>45845</v>
      </c>
      <c r="B135" s="108" t="s">
        <v>342</v>
      </c>
      <c r="C135" s="74" t="s">
        <v>67</v>
      </c>
      <c r="D135" s="104" t="s">
        <v>254</v>
      </c>
      <c r="E135" s="4" t="s">
        <v>69</v>
      </c>
      <c r="F135" s="4" t="s">
        <v>43</v>
      </c>
      <c r="G135" s="121" t="s">
        <v>353</v>
      </c>
      <c r="H135" s="181" t="s">
        <v>354</v>
      </c>
      <c r="I135" s="104" t="s">
        <v>355</v>
      </c>
      <c r="J135" s="125">
        <v>0</v>
      </c>
      <c r="K135" s="125">
        <v>1</v>
      </c>
      <c r="L135" s="112">
        <f>EDUVIAL_2023[[#This Row],[HOMBRE]]+EDUVIAL_2023[[#This Row],[MUJER]]</f>
        <v>1</v>
      </c>
      <c r="M135" s="249">
        <v>0</v>
      </c>
      <c r="N135" s="106">
        <v>0</v>
      </c>
      <c r="O135" s="106">
        <v>0</v>
      </c>
      <c r="P135" s="106">
        <v>0</v>
      </c>
      <c r="Q135" s="106">
        <v>1</v>
      </c>
      <c r="R135" s="106">
        <v>0</v>
      </c>
      <c r="S13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135" s="120">
        <f>EDUVIAL_2023[[#This Row],[TOTAL SEXO]]</f>
        <v>1</v>
      </c>
      <c r="U135" s="79" t="str">
        <f>VLOOKUP(EDUVIAL_2023[[#This Row],[INSTITUCIÓN O EMPRESA]],LISTAS!$J$1:$M$85,3,0)</f>
        <v>Zona 4</v>
      </c>
      <c r="V135" s="79" t="str">
        <f>VLOOKUP(EDUVIAL_2023[[#This Row],[INSTITUCIÓN O EMPRESA]],LISTAS!$J$1:$M$85,4,0)</f>
        <v>Zúñiga</v>
      </c>
      <c r="W135" s="126" t="str">
        <f>VLOOKUP(EDUVIAL_2023[[#This Row],[INSTITUCIÓN O EMPRESA]],LISTAS!$J$1:$M$85,2,0)</f>
        <v>6.179227, -75.575250</v>
      </c>
      <c r="X135" s="114" t="b">
        <f>EXACT(EDUVIAL_2023[[#This Row],[TOTAL SEXO]],EDUVIAL_2023[[#This Row],[TOTAL RANGOS]])</f>
        <v>1</v>
      </c>
      <c r="Y135" s="106"/>
    </row>
    <row r="136" spans="1:25" ht="28.9">
      <c r="A136" s="128">
        <v>45847</v>
      </c>
      <c r="B136" s="108" t="s">
        <v>342</v>
      </c>
      <c r="C136" s="74" t="s">
        <v>36</v>
      </c>
      <c r="D136" s="104" t="s">
        <v>217</v>
      </c>
      <c r="E136" s="4" t="s">
        <v>69</v>
      </c>
      <c r="F136" s="4" t="s">
        <v>346</v>
      </c>
      <c r="G136" s="121" t="s">
        <v>356</v>
      </c>
      <c r="H136" s="181" t="s">
        <v>357</v>
      </c>
      <c r="I136" s="104" t="s">
        <v>358</v>
      </c>
      <c r="J136" s="125">
        <v>1</v>
      </c>
      <c r="K136" s="125">
        <v>1</v>
      </c>
      <c r="L136" s="112">
        <f>EDUVIAL_2023[[#This Row],[HOMBRE]]+EDUVIAL_2023[[#This Row],[MUJER]]</f>
        <v>2</v>
      </c>
      <c r="M136" s="249">
        <v>0</v>
      </c>
      <c r="N136" s="106">
        <v>0</v>
      </c>
      <c r="O136" s="106">
        <v>0</v>
      </c>
      <c r="P136" s="106">
        <v>1</v>
      </c>
      <c r="Q136" s="106">
        <v>1</v>
      </c>
      <c r="R136" s="106">
        <v>0</v>
      </c>
      <c r="S13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</v>
      </c>
      <c r="T136" s="120">
        <f>EDUVIAL_2023[[#This Row],[TOTAL SEXO]]</f>
        <v>2</v>
      </c>
      <c r="U136" s="79" t="str">
        <f>VLOOKUP(EDUVIAL_2023[[#This Row],[INSTITUCIÓN O EMPRESA]],LISTAS!$J$1:$M$85,3,0)</f>
        <v>Zona 9</v>
      </c>
      <c r="V136" s="79" t="str">
        <f>VLOOKUP(EDUVIAL_2023[[#This Row],[INSTITUCIÓN O EMPRESA]],LISTAS!$J$1:$M$85,4,0)</f>
        <v>Centro</v>
      </c>
      <c r="W136" s="126" t="str">
        <f>VLOOKUP(EDUVIAL_2023[[#This Row],[INSTITUCIÓN O EMPRESA]],LISTAS!$J$1:$M$85,2,0)</f>
        <v>6.169773013301722, -75.58747462568526</v>
      </c>
      <c r="X136" s="114" t="b">
        <f>EXACT(EDUVIAL_2023[[#This Row],[TOTAL SEXO]],EDUVIAL_2023[[#This Row],[TOTAL RANGOS]])</f>
        <v>1</v>
      </c>
      <c r="Y136" s="106"/>
    </row>
    <row r="137" spans="1:25">
      <c r="A137" s="128">
        <v>45847</v>
      </c>
      <c r="B137" s="108" t="s">
        <v>342</v>
      </c>
      <c r="C137" s="74" t="s">
        <v>49</v>
      </c>
      <c r="D137" s="104" t="s">
        <v>50</v>
      </c>
      <c r="E137" s="4" t="s">
        <v>51</v>
      </c>
      <c r="F137" s="4" t="s">
        <v>240</v>
      </c>
      <c r="G137" s="121" t="s">
        <v>359</v>
      </c>
      <c r="H137" s="181" t="s">
        <v>96</v>
      </c>
      <c r="I137" s="104" t="s">
        <v>360</v>
      </c>
      <c r="J137" s="125">
        <v>16</v>
      </c>
      <c r="K137" s="125">
        <v>1</v>
      </c>
      <c r="L137" s="112">
        <f>EDUVIAL_2023[[#This Row],[HOMBRE]]+EDUVIAL_2023[[#This Row],[MUJER]]</f>
        <v>17</v>
      </c>
      <c r="M137" s="249">
        <v>0</v>
      </c>
      <c r="N137" s="106">
        <v>0</v>
      </c>
      <c r="O137" s="106">
        <v>0</v>
      </c>
      <c r="P137" s="106">
        <v>2</v>
      </c>
      <c r="Q137" s="106">
        <v>15</v>
      </c>
      <c r="R137" s="106">
        <v>0</v>
      </c>
      <c r="S13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17</v>
      </c>
      <c r="T137" s="120">
        <f>EDUVIAL_2023[[#This Row],[TOTAL SEXO]]</f>
        <v>17</v>
      </c>
      <c r="U137" s="79" t="str">
        <f>VLOOKUP(EDUVIAL_2023[[#This Row],[INSTITUCIÓN O EMPRESA]],LISTAS!$J$1:$M$85,3,0)</f>
        <v>Zona 8</v>
      </c>
      <c r="V137" s="79" t="str">
        <f>VLOOKUP(EDUVIAL_2023[[#This Row],[INSTITUCIÓN O EMPRESA]],LISTAS!$J$1:$M$85,4,0)</f>
        <v>Primavera</v>
      </c>
      <c r="W137" s="126" t="str">
        <f>VLOOKUP(EDUVIAL_2023[[#This Row],[INSTITUCIÓN O EMPRESA]],LISTAS!$J$1:$M$85,2,0)</f>
        <v>6.165654575218992, -75.59818573675861</v>
      </c>
      <c r="X137" s="114" t="b">
        <f>EXACT(EDUVIAL_2023[[#This Row],[TOTAL SEXO]],EDUVIAL_2023[[#This Row],[TOTAL RANGOS]])</f>
        <v>1</v>
      </c>
      <c r="Y137" s="106"/>
    </row>
    <row r="138" spans="1:25">
      <c r="A138" s="128">
        <v>45849</v>
      </c>
      <c r="B138" s="108" t="s">
        <v>342</v>
      </c>
      <c r="C138" s="74" t="s">
        <v>67</v>
      </c>
      <c r="D138" s="104" t="s">
        <v>101</v>
      </c>
      <c r="E138" s="4" t="s">
        <v>51</v>
      </c>
      <c r="F138" s="4" t="s">
        <v>43</v>
      </c>
      <c r="G138" s="121" t="s">
        <v>361</v>
      </c>
      <c r="H138" s="181" t="s">
        <v>344</v>
      </c>
      <c r="I138" s="104" t="s">
        <v>362</v>
      </c>
      <c r="J138" s="125">
        <v>2</v>
      </c>
      <c r="K138" s="125">
        <v>16</v>
      </c>
      <c r="L138" s="112">
        <f>EDUVIAL_2023[[#This Row],[HOMBRE]]+EDUVIAL_2023[[#This Row],[MUJER]]</f>
        <v>18</v>
      </c>
      <c r="M138" s="249">
        <v>0</v>
      </c>
      <c r="N138" s="106">
        <v>0</v>
      </c>
      <c r="O138" s="106">
        <v>1</v>
      </c>
      <c r="P138" s="106">
        <v>0</v>
      </c>
      <c r="Q138" s="106">
        <v>17</v>
      </c>
      <c r="R138" s="106">
        <v>0</v>
      </c>
      <c r="S138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18</v>
      </c>
      <c r="T138" s="120">
        <f>EDUVIAL_2023[[#This Row],[TOTAL SEXO]]</f>
        <v>18</v>
      </c>
      <c r="U138" s="79" t="str">
        <f>VLOOKUP(EDUVIAL_2023[[#This Row],[INSTITUCIÓN O EMPRESA]],LISTAS!$J$1:$M$85,3,0)</f>
        <v>Zona 6</v>
      </c>
      <c r="V138" s="79" t="str">
        <f>VLOOKUP(EDUVIAL_2023[[#This Row],[INSTITUCIÓN O EMPRESA]],LISTAS!$J$1:$M$85,4,0)</f>
        <v>El Salado</v>
      </c>
      <c r="W138" s="126" t="str">
        <f>VLOOKUP(EDUVIAL_2023[[#This Row],[INSTITUCIÓN O EMPRESA]],LISTAS!$J$1:$M$85,2,0)</f>
        <v>6.153244, -75.577675</v>
      </c>
      <c r="X138" s="114" t="b">
        <f>EXACT(EDUVIAL_2023[[#This Row],[TOTAL SEXO]],EDUVIAL_2023[[#This Row],[TOTAL RANGOS]])</f>
        <v>1</v>
      </c>
      <c r="Y138" s="106"/>
    </row>
    <row r="139" spans="1:25">
      <c r="A139" s="128">
        <v>45851</v>
      </c>
      <c r="B139" s="108" t="s">
        <v>342</v>
      </c>
      <c r="C139" s="74" t="s">
        <v>106</v>
      </c>
      <c r="D139" s="104" t="s">
        <v>217</v>
      </c>
      <c r="E139" s="4" t="s">
        <v>218</v>
      </c>
      <c r="F139" s="4" t="s">
        <v>43</v>
      </c>
      <c r="G139" s="121" t="s">
        <v>363</v>
      </c>
      <c r="H139" s="181" t="s">
        <v>357</v>
      </c>
      <c r="I139" s="104" t="s">
        <v>364</v>
      </c>
      <c r="J139" s="125">
        <v>0</v>
      </c>
      <c r="K139" s="125">
        <v>0</v>
      </c>
      <c r="L139" s="112">
        <f>EDUVIAL_2023[[#This Row],[HOMBRE]]+EDUVIAL_2023[[#This Row],[MUJER]]</f>
        <v>0</v>
      </c>
      <c r="M139" s="249">
        <v>0</v>
      </c>
      <c r="N139" s="106">
        <v>0</v>
      </c>
      <c r="O139" s="106">
        <v>0</v>
      </c>
      <c r="P139" s="106">
        <v>0</v>
      </c>
      <c r="Q139" s="106">
        <v>0</v>
      </c>
      <c r="R139" s="106">
        <v>0</v>
      </c>
      <c r="S139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0</v>
      </c>
      <c r="T139" s="120">
        <f>EDUVIAL_2023[[#This Row],[TOTAL SEXO]]</f>
        <v>0</v>
      </c>
      <c r="U139" s="79" t="str">
        <f>VLOOKUP(EDUVIAL_2023[[#This Row],[INSTITUCIÓN O EMPRESA]],LISTAS!$J$1:$M$85,3,0)</f>
        <v>Zona 9</v>
      </c>
      <c r="V139" s="79" t="str">
        <f>VLOOKUP(EDUVIAL_2023[[#This Row],[INSTITUCIÓN O EMPRESA]],LISTAS!$J$1:$M$85,4,0)</f>
        <v>Centro</v>
      </c>
      <c r="W139" s="126" t="str">
        <f>VLOOKUP(EDUVIAL_2023[[#This Row],[INSTITUCIÓN O EMPRESA]],LISTAS!$J$1:$M$85,2,0)</f>
        <v>6.169773013301722, -75.58747462568526</v>
      </c>
      <c r="X139" s="114" t="b">
        <f>EXACT(EDUVIAL_2023[[#This Row],[TOTAL SEXO]],EDUVIAL_2023[[#This Row],[TOTAL RANGOS]])</f>
        <v>1</v>
      </c>
      <c r="Y139" s="106"/>
    </row>
    <row r="140" spans="1:25">
      <c r="A140" s="128">
        <v>45852</v>
      </c>
      <c r="B140" s="108" t="s">
        <v>342</v>
      </c>
      <c r="C140" s="74" t="s">
        <v>49</v>
      </c>
      <c r="D140" s="104" t="s">
        <v>365</v>
      </c>
      <c r="E140" s="4" t="s">
        <v>51</v>
      </c>
      <c r="F140" s="4" t="s">
        <v>79</v>
      </c>
      <c r="G140" s="121" t="s">
        <v>366</v>
      </c>
      <c r="H140" s="181" t="s">
        <v>357</v>
      </c>
      <c r="I140" s="104" t="s">
        <v>367</v>
      </c>
      <c r="J140" s="125">
        <v>21</v>
      </c>
      <c r="K140" s="125">
        <v>2</v>
      </c>
      <c r="L140" s="112">
        <f>EDUVIAL_2023[[#This Row],[HOMBRE]]+EDUVIAL_2023[[#This Row],[MUJER]]</f>
        <v>23</v>
      </c>
      <c r="M140" s="249">
        <v>0</v>
      </c>
      <c r="N140" s="106">
        <v>0</v>
      </c>
      <c r="O140" s="106">
        <v>0</v>
      </c>
      <c r="P140" s="106">
        <v>1</v>
      </c>
      <c r="Q140" s="106">
        <v>22</v>
      </c>
      <c r="R140" s="106">
        <v>0</v>
      </c>
      <c r="S140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23</v>
      </c>
      <c r="T140" s="120">
        <f>EDUVIAL_2023[[#This Row],[TOTAL SEXO]]</f>
        <v>23</v>
      </c>
      <c r="U140" s="79" t="s">
        <v>64</v>
      </c>
      <c r="V140" s="79" t="s">
        <v>65</v>
      </c>
      <c r="W140" s="126" t="str">
        <f>VLOOKUP(EDUVIAL_2023[[#This Row],[INSTITUCIÓN O EMPRESA]],LISTAS!$J$1:$M$85,2,0)</f>
        <v>6.169773013301722, -75.58747462568526</v>
      </c>
      <c r="X140" s="114" t="b">
        <f>EXACT(EDUVIAL_2023[[#This Row],[TOTAL SEXO]],EDUVIAL_2023[[#This Row],[TOTAL RANGOS]])</f>
        <v>1</v>
      </c>
      <c r="Y140" s="106"/>
    </row>
    <row r="141" spans="1:25">
      <c r="A141" s="128">
        <v>45853</v>
      </c>
      <c r="B141" s="108" t="s">
        <v>342</v>
      </c>
      <c r="C141" s="104" t="s">
        <v>106</v>
      </c>
      <c r="D141" s="104" t="s">
        <v>368</v>
      </c>
      <c r="E141" s="121" t="s">
        <v>69</v>
      </c>
      <c r="F141" s="104" t="s">
        <v>43</v>
      </c>
      <c r="G141" s="121" t="s">
        <v>369</v>
      </c>
      <c r="H141" s="121" t="s">
        <v>340</v>
      </c>
      <c r="I141" s="104" t="s">
        <v>370</v>
      </c>
      <c r="J141" s="125">
        <v>0</v>
      </c>
      <c r="K141" s="125">
        <v>2</v>
      </c>
      <c r="L141" s="112">
        <f>EDUVIAL_2023[[#This Row],[HOMBRE]]+EDUVIAL_2023[[#This Row],[MUJER]]</f>
        <v>2</v>
      </c>
      <c r="M141" s="249">
        <v>0</v>
      </c>
      <c r="N141" s="106">
        <v>0</v>
      </c>
      <c r="O141" s="106">
        <v>0</v>
      </c>
      <c r="P141" s="106">
        <v>1</v>
      </c>
      <c r="Q141" s="106">
        <v>1</v>
      </c>
      <c r="R141" s="106">
        <v>0</v>
      </c>
      <c r="S141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</v>
      </c>
      <c r="T141" s="120">
        <f>EDUVIAL_2023[[#This Row],[TOTAL SEXO]]</f>
        <v>2</v>
      </c>
      <c r="U141" s="106" t="str">
        <f>VLOOKUP(EDUVIAL_2023[[#This Row],[INSTITUCIÓN O EMPRESA]],LISTAS!$J$1:$M$85,3,0)</f>
        <v>Zona 9</v>
      </c>
      <c r="V141" s="106" t="str">
        <f>VLOOKUP(EDUVIAL_2023[[#This Row],[INSTITUCIÓN O EMPRESA]],LISTAS!$J$1:$M$85,4,0)</f>
        <v>Centro</v>
      </c>
      <c r="W141" s="125" t="str">
        <f>VLOOKUP(EDUVIAL_2023[[#This Row],[INSTITUCIÓN O EMPRESA]],LISTAS!$J$1:$M$85,2,0)</f>
        <v>6.168450558868997, -75.5896412723252</v>
      </c>
      <c r="X141" s="114" t="b">
        <f>EXACT(EDUVIAL_2023[[#This Row],[TOTAL SEXO]],EDUVIAL_2023[[#This Row],[TOTAL RANGOS]])</f>
        <v>1</v>
      </c>
      <c r="Y141" s="106"/>
    </row>
    <row r="142" spans="1:25" ht="28.9">
      <c r="A142" s="128">
        <v>45853</v>
      </c>
      <c r="B142" s="108" t="s">
        <v>342</v>
      </c>
      <c r="C142" s="104" t="s">
        <v>49</v>
      </c>
      <c r="D142" s="104" t="s">
        <v>365</v>
      </c>
      <c r="E142" s="121" t="s">
        <v>51</v>
      </c>
      <c r="F142" s="104" t="s">
        <v>240</v>
      </c>
      <c r="G142" s="121" t="s">
        <v>366</v>
      </c>
      <c r="H142" s="181" t="s">
        <v>357</v>
      </c>
      <c r="I142" s="104" t="s">
        <v>367</v>
      </c>
      <c r="J142" s="125">
        <v>17</v>
      </c>
      <c r="K142" s="125">
        <v>5</v>
      </c>
      <c r="L142" s="112">
        <f>EDUVIAL_2023[[#This Row],[HOMBRE]]+EDUVIAL_2023[[#This Row],[MUJER]]</f>
        <v>22</v>
      </c>
      <c r="M142" s="249">
        <v>0</v>
      </c>
      <c r="N142" s="106">
        <v>0</v>
      </c>
      <c r="O142" s="106">
        <v>0</v>
      </c>
      <c r="P142" s="106">
        <v>5</v>
      </c>
      <c r="Q142" s="106">
        <v>17</v>
      </c>
      <c r="R142" s="106">
        <v>0</v>
      </c>
      <c r="S142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22</v>
      </c>
      <c r="T142" s="120">
        <f>EDUVIAL_2023[[#This Row],[TOTAL SEXO]]</f>
        <v>22</v>
      </c>
      <c r="U142" s="79" t="s">
        <v>64</v>
      </c>
      <c r="V142" s="79" t="s">
        <v>65</v>
      </c>
      <c r="W142" s="126" t="str">
        <f>VLOOKUP(EDUVIAL_2023[[#This Row],[INSTITUCIÓN O EMPRESA]],LISTAS!$J$1:$M$85,2,0)</f>
        <v>6.169773013301722, -75.58747462568526</v>
      </c>
      <c r="X142" s="114" t="b">
        <f>EXACT(EDUVIAL_2023[[#This Row],[TOTAL SEXO]],EDUVIAL_2023[[#This Row],[TOTAL RANGOS]])</f>
        <v>1</v>
      </c>
      <c r="Y142" s="106"/>
    </row>
    <row r="143" spans="1:25" ht="28.9">
      <c r="A143" s="128">
        <v>45853</v>
      </c>
      <c r="B143" s="108" t="s">
        <v>342</v>
      </c>
      <c r="C143" s="104" t="s">
        <v>67</v>
      </c>
      <c r="D143" s="104" t="s">
        <v>371</v>
      </c>
      <c r="E143" s="121" t="s">
        <v>51</v>
      </c>
      <c r="F143" s="104" t="s">
        <v>43</v>
      </c>
      <c r="G143" s="121" t="s">
        <v>372</v>
      </c>
      <c r="H143" s="121" t="s">
        <v>340</v>
      </c>
      <c r="I143" s="104" t="s">
        <v>373</v>
      </c>
      <c r="J143" s="125">
        <v>21</v>
      </c>
      <c r="K143" s="125">
        <v>22</v>
      </c>
      <c r="L143" s="112">
        <f>EDUVIAL_2023[[#This Row],[HOMBRE]]+EDUVIAL_2023[[#This Row],[MUJER]]</f>
        <v>43</v>
      </c>
      <c r="M143" s="249">
        <v>0</v>
      </c>
      <c r="N143" s="106">
        <v>35</v>
      </c>
      <c r="O143" s="106">
        <v>0</v>
      </c>
      <c r="P143" s="106">
        <v>0</v>
      </c>
      <c r="Q143" s="106">
        <v>8</v>
      </c>
      <c r="R143" s="106">
        <v>0</v>
      </c>
      <c r="S143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43</v>
      </c>
      <c r="T143" s="120">
        <f>EDUVIAL_2023[[#This Row],[TOTAL SEXO]]</f>
        <v>43</v>
      </c>
      <c r="U143" s="106" t="str">
        <f>VLOOKUP(EDUVIAL_2023[[#This Row],[INSTITUCIÓN O EMPRESA]],LISTAS!$J$1:$M$85,3,0)</f>
        <v>Zona 9</v>
      </c>
      <c r="V143" s="106" t="str">
        <f>VLOOKUP(EDUVIAL_2023[[#This Row],[INSTITUCIÓN O EMPRESA]],LISTAS!$J$1:$M$85,4,0)</f>
        <v>Centro</v>
      </c>
      <c r="W143" s="125" t="str">
        <f>VLOOKUP(EDUVIAL_2023[[#This Row],[INSTITUCIÓN O EMPRESA]],LISTAS!$J$1:$M$85,2,0)</f>
        <v>6.168450558868997, -75.5896412723252</v>
      </c>
      <c r="X143" s="114" t="b">
        <f>EXACT(EDUVIAL_2023[[#This Row],[TOTAL SEXO]],EDUVIAL_2023[[#This Row],[TOTAL RANGOS]])</f>
        <v>1</v>
      </c>
      <c r="Y143" s="106"/>
    </row>
    <row r="144" spans="1:25" ht="28.9">
      <c r="A144" s="128">
        <v>45854</v>
      </c>
      <c r="B144" s="108" t="s">
        <v>342</v>
      </c>
      <c r="C144" s="104" t="s">
        <v>67</v>
      </c>
      <c r="D144" s="104" t="s">
        <v>226</v>
      </c>
      <c r="E144" s="121" t="s">
        <v>51</v>
      </c>
      <c r="F144" s="104" t="s">
        <v>43</v>
      </c>
      <c r="G144" s="121" t="s">
        <v>374</v>
      </c>
      <c r="H144" s="121" t="s">
        <v>340</v>
      </c>
      <c r="I144" s="104" t="s">
        <v>373</v>
      </c>
      <c r="J144" s="125">
        <v>32</v>
      </c>
      <c r="K144" s="125">
        <v>53</v>
      </c>
      <c r="L144" s="112">
        <f>EDUVIAL_2023[[#This Row],[HOMBRE]]+EDUVIAL_2023[[#This Row],[MUJER]]</f>
        <v>85</v>
      </c>
      <c r="M144" s="249">
        <v>0</v>
      </c>
      <c r="N144" s="106">
        <v>66</v>
      </c>
      <c r="O144" s="106">
        <v>0</v>
      </c>
      <c r="P144" s="106">
        <v>0</v>
      </c>
      <c r="Q144" s="106">
        <v>19</v>
      </c>
      <c r="R144" s="106">
        <v>0</v>
      </c>
      <c r="S14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85</v>
      </c>
      <c r="T144" s="120">
        <f>EDUVIAL_2023[[#This Row],[TOTAL SEXO]]</f>
        <v>85</v>
      </c>
      <c r="U144" s="106" t="str">
        <f>VLOOKUP(EDUVIAL_2023[[#This Row],[INSTITUCIÓN O EMPRESA]],LISTAS!$J$1:$M$85,3,0)</f>
        <v>Zona 9</v>
      </c>
      <c r="V144" s="106" t="str">
        <f>VLOOKUP(EDUVIAL_2023[[#This Row],[INSTITUCIÓN O EMPRESA]],LISTAS!$J$1:$M$85,4,0)</f>
        <v>Centro</v>
      </c>
      <c r="W144" s="125" t="str">
        <f>VLOOKUP(EDUVIAL_2023[[#This Row],[INSTITUCIÓN O EMPRESA]],LISTAS!$J$1:$M$85,2,0)</f>
        <v>6.168450558868997, -75.5896412723252</v>
      </c>
      <c r="X144" s="114" t="b">
        <f>EXACT(EDUVIAL_2023[[#This Row],[TOTAL SEXO]],EDUVIAL_2023[[#This Row],[TOTAL RANGOS]])</f>
        <v>1</v>
      </c>
      <c r="Y144" s="106"/>
    </row>
    <row r="145" spans="1:25" ht="28.9">
      <c r="A145" s="128">
        <v>45855</v>
      </c>
      <c r="B145" s="108" t="s">
        <v>342</v>
      </c>
      <c r="C145" s="104" t="s">
        <v>67</v>
      </c>
      <c r="D145" s="104" t="s">
        <v>226</v>
      </c>
      <c r="E145" s="121" t="s">
        <v>51</v>
      </c>
      <c r="F145" s="104" t="s">
        <v>43</v>
      </c>
      <c r="G145" s="121" t="s">
        <v>375</v>
      </c>
      <c r="H145" s="121" t="s">
        <v>340</v>
      </c>
      <c r="I145" s="104" t="s">
        <v>373</v>
      </c>
      <c r="J145" s="125">
        <v>46</v>
      </c>
      <c r="K145" s="125">
        <v>27</v>
      </c>
      <c r="L145" s="112">
        <f>EDUVIAL_2023[[#This Row],[HOMBRE]]+EDUVIAL_2023[[#This Row],[MUJER]]</f>
        <v>73</v>
      </c>
      <c r="M145" s="249">
        <v>0</v>
      </c>
      <c r="N145" s="106">
        <v>71</v>
      </c>
      <c r="O145" s="106">
        <v>0</v>
      </c>
      <c r="P145" s="106">
        <v>0</v>
      </c>
      <c r="Q145" s="106">
        <v>2</v>
      </c>
      <c r="R145" s="106">
        <v>0</v>
      </c>
      <c r="S14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73</v>
      </c>
      <c r="T145" s="120">
        <f>EDUVIAL_2023[[#This Row],[TOTAL SEXO]]</f>
        <v>73</v>
      </c>
      <c r="U145" s="106" t="str">
        <f>VLOOKUP(EDUVIAL_2023[[#This Row],[INSTITUCIÓN O EMPRESA]],LISTAS!$J$1:$M$85,3,0)</f>
        <v>Zona 9</v>
      </c>
      <c r="V145" s="106" t="str">
        <f>VLOOKUP(EDUVIAL_2023[[#This Row],[INSTITUCIÓN O EMPRESA]],LISTAS!$J$1:$M$85,4,0)</f>
        <v>Centro</v>
      </c>
      <c r="W145" s="125" t="str">
        <f>VLOOKUP(EDUVIAL_2023[[#This Row],[INSTITUCIÓN O EMPRESA]],LISTAS!$J$1:$M$85,2,0)</f>
        <v>6.168450558868997, -75.5896412723252</v>
      </c>
      <c r="X145" s="114" t="b">
        <f>EXACT(EDUVIAL_2023[[#This Row],[TOTAL SEXO]],EDUVIAL_2023[[#This Row],[TOTAL RANGOS]])</f>
        <v>1</v>
      </c>
      <c r="Y145" s="106"/>
    </row>
    <row r="146" spans="1:25">
      <c r="A146" s="128">
        <v>45855</v>
      </c>
      <c r="B146" s="108" t="s">
        <v>342</v>
      </c>
      <c r="C146" s="104" t="s">
        <v>49</v>
      </c>
      <c r="D146" s="104" t="s">
        <v>148</v>
      </c>
      <c r="E146" s="121" t="s">
        <v>94</v>
      </c>
      <c r="F146" s="104" t="s">
        <v>79</v>
      </c>
      <c r="G146" s="121" t="s">
        <v>376</v>
      </c>
      <c r="H146" s="121" t="s">
        <v>340</v>
      </c>
      <c r="I146" s="104" t="s">
        <v>377</v>
      </c>
      <c r="J146" s="125">
        <v>0</v>
      </c>
      <c r="K146" s="125">
        <v>3</v>
      </c>
      <c r="L146" s="112">
        <f>EDUVIAL_2023[[#This Row],[HOMBRE]]+EDUVIAL_2023[[#This Row],[MUJER]]</f>
        <v>3</v>
      </c>
      <c r="M146" s="249">
        <v>0</v>
      </c>
      <c r="N146" s="106">
        <v>0</v>
      </c>
      <c r="O146" s="106">
        <v>0</v>
      </c>
      <c r="P146" s="106">
        <v>1</v>
      </c>
      <c r="Q146" s="106">
        <v>2</v>
      </c>
      <c r="R146" s="106">
        <v>0</v>
      </c>
      <c r="S14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</v>
      </c>
      <c r="T146" s="120">
        <f>EDUVIAL_2023[[#This Row],[TOTAL SEXO]]</f>
        <v>3</v>
      </c>
      <c r="U146" s="106" t="s">
        <v>33</v>
      </c>
      <c r="V146" s="106" t="s">
        <v>34</v>
      </c>
      <c r="W146" s="125" t="str">
        <f>VLOOKUP(EDUVIAL_2023[[#This Row],[INSTITUCIÓN O EMPRESA]],LISTAS!$J$1:$M$85,2,0)</f>
        <v>6.168450558868997, -75.5896412723252</v>
      </c>
      <c r="X146" s="114" t="b">
        <f>EXACT(EDUVIAL_2023[[#This Row],[TOTAL SEXO]],EDUVIAL_2023[[#This Row],[TOTAL RANGOS]])</f>
        <v>1</v>
      </c>
      <c r="Y146" s="106"/>
    </row>
    <row r="147" spans="1:25" ht="28.9">
      <c r="A147" s="128">
        <v>45856</v>
      </c>
      <c r="B147" s="108" t="s">
        <v>342</v>
      </c>
      <c r="C147" s="104" t="s">
        <v>67</v>
      </c>
      <c r="D147" s="104" t="s">
        <v>68</v>
      </c>
      <c r="E147" s="121" t="s">
        <v>51</v>
      </c>
      <c r="F147" s="104" t="s">
        <v>43</v>
      </c>
      <c r="G147" s="121" t="s">
        <v>378</v>
      </c>
      <c r="H147" s="121" t="s">
        <v>338</v>
      </c>
      <c r="I147" s="104" t="s">
        <v>379</v>
      </c>
      <c r="J147" s="125">
        <v>0</v>
      </c>
      <c r="K147" s="125">
        <v>17</v>
      </c>
      <c r="L147" s="112">
        <f>EDUVIAL_2023[[#This Row],[HOMBRE]]+EDUVIAL_2023[[#This Row],[MUJER]]</f>
        <v>17</v>
      </c>
      <c r="M147" s="249">
        <v>0</v>
      </c>
      <c r="N147" s="106">
        <v>0</v>
      </c>
      <c r="O147" s="106">
        <v>0</v>
      </c>
      <c r="P147" s="106">
        <v>0</v>
      </c>
      <c r="Q147" s="106">
        <v>17</v>
      </c>
      <c r="R147" s="106">
        <v>0</v>
      </c>
      <c r="S14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17</v>
      </c>
      <c r="T147" s="120">
        <f>EDUVIAL_2023[[#This Row],[TOTAL SEXO]]</f>
        <v>17</v>
      </c>
      <c r="U147" s="106" t="str">
        <f>VLOOKUP(EDUVIAL_2023[[#This Row],[INSTITUCIÓN O EMPRESA]],LISTAS!$J$1:$M$85,3,0)</f>
        <v>Zona 9</v>
      </c>
      <c r="V147" s="106" t="str">
        <f>VLOOKUP(EDUVIAL_2023[[#This Row],[INSTITUCIÓN O EMPRESA]],LISTAS!$J$1:$M$85,4,0)</f>
        <v>Centro</v>
      </c>
      <c r="W147" s="125" t="str">
        <f>VLOOKUP(EDUVIAL_2023[[#This Row],[INSTITUCIÓN O EMPRESA]],LISTAS!$J$1:$M$85,2,0)</f>
        <v>6.165163198833833, -75.58687524365986</v>
      </c>
      <c r="X147" s="114" t="b">
        <f>EXACT(EDUVIAL_2023[[#This Row],[TOTAL SEXO]],EDUVIAL_2023[[#This Row],[TOTAL RANGOS]])</f>
        <v>1</v>
      </c>
      <c r="Y147" s="106"/>
    </row>
    <row r="148" spans="1:25" ht="28.9">
      <c r="A148" s="128">
        <v>45859</v>
      </c>
      <c r="B148" s="108" t="s">
        <v>342</v>
      </c>
      <c r="C148" s="104" t="s">
        <v>49</v>
      </c>
      <c r="D148" s="104" t="s">
        <v>50</v>
      </c>
      <c r="E148" s="121" t="s">
        <v>51</v>
      </c>
      <c r="F148" s="104" t="s">
        <v>79</v>
      </c>
      <c r="G148" s="121" t="s">
        <v>51</v>
      </c>
      <c r="H148" s="130" t="s">
        <v>314</v>
      </c>
      <c r="I148" s="104" t="s">
        <v>380</v>
      </c>
      <c r="J148" s="125">
        <v>29</v>
      </c>
      <c r="K148" s="125">
        <v>0</v>
      </c>
      <c r="L148" s="112">
        <f>EDUVIAL_2023[[#This Row],[HOMBRE]]+EDUVIAL_2023[[#This Row],[MUJER]]</f>
        <v>29</v>
      </c>
      <c r="M148" s="249">
        <v>0</v>
      </c>
      <c r="N148" s="106">
        <v>0</v>
      </c>
      <c r="O148" s="106">
        <v>0</v>
      </c>
      <c r="P148" s="106">
        <v>0</v>
      </c>
      <c r="Q148" s="106">
        <v>28</v>
      </c>
      <c r="R148" s="106">
        <v>1</v>
      </c>
      <c r="S148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29</v>
      </c>
      <c r="T148" s="120">
        <f>EDUVIAL_2023[[#This Row],[TOTAL SEXO]]</f>
        <v>29</v>
      </c>
      <c r="U148" s="79" t="s">
        <v>73</v>
      </c>
      <c r="V148" s="79" t="s">
        <v>74</v>
      </c>
      <c r="W148" s="125" t="s">
        <v>381</v>
      </c>
      <c r="X148" s="114" t="b">
        <f>EXACT(EDUVIAL_2023[[#This Row],[TOTAL SEXO]],EDUVIAL_2023[[#This Row],[TOTAL RANGOS]])</f>
        <v>1</v>
      </c>
      <c r="Y148" s="106"/>
    </row>
    <row r="149" spans="1:25" ht="28.9">
      <c r="A149" s="128">
        <v>45859</v>
      </c>
      <c r="B149" s="108" t="s">
        <v>342</v>
      </c>
      <c r="C149" s="104" t="s">
        <v>49</v>
      </c>
      <c r="D149" s="104" t="s">
        <v>50</v>
      </c>
      <c r="E149" s="121" t="s">
        <v>51</v>
      </c>
      <c r="F149" s="104" t="s">
        <v>79</v>
      </c>
      <c r="G149" s="121" t="s">
        <v>51</v>
      </c>
      <c r="H149" s="130" t="s">
        <v>314</v>
      </c>
      <c r="I149" s="104" t="s">
        <v>380</v>
      </c>
      <c r="J149" s="125">
        <v>18</v>
      </c>
      <c r="K149" s="125">
        <v>0</v>
      </c>
      <c r="L149" s="112">
        <f>EDUVIAL_2023[[#This Row],[HOMBRE]]+EDUVIAL_2023[[#This Row],[MUJER]]</f>
        <v>18</v>
      </c>
      <c r="M149" s="249">
        <v>0</v>
      </c>
      <c r="N149" s="106">
        <v>0</v>
      </c>
      <c r="O149" s="106">
        <v>0</v>
      </c>
      <c r="P149" s="106">
        <v>0</v>
      </c>
      <c r="Q149" s="106">
        <v>14</v>
      </c>
      <c r="R149" s="106">
        <v>4</v>
      </c>
      <c r="S149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18</v>
      </c>
      <c r="T149" s="120">
        <f>EDUVIAL_2023[[#This Row],[TOTAL SEXO]]</f>
        <v>18</v>
      </c>
      <c r="U149" s="106" t="s">
        <v>73</v>
      </c>
      <c r="V149" s="79" t="s">
        <v>74</v>
      </c>
      <c r="W149" s="125" t="s">
        <v>381</v>
      </c>
      <c r="X149" s="114" t="b">
        <f>EXACT(EDUVIAL_2023[[#This Row],[TOTAL SEXO]],EDUVIAL_2023[[#This Row],[TOTAL RANGOS]])</f>
        <v>1</v>
      </c>
      <c r="Y149" s="106"/>
    </row>
    <row r="150" spans="1:25" ht="28.9">
      <c r="A150" s="128">
        <v>45860</v>
      </c>
      <c r="B150" s="108" t="s">
        <v>342</v>
      </c>
      <c r="C150" s="104" t="s">
        <v>67</v>
      </c>
      <c r="D150" s="104" t="s">
        <v>101</v>
      </c>
      <c r="E150" s="121" t="s">
        <v>128</v>
      </c>
      <c r="F150" s="104" t="s">
        <v>43</v>
      </c>
      <c r="G150" s="121" t="s">
        <v>51</v>
      </c>
      <c r="H150" s="121" t="s">
        <v>340</v>
      </c>
      <c r="I150" s="104" t="s">
        <v>72</v>
      </c>
      <c r="J150" s="125">
        <v>4</v>
      </c>
      <c r="K150" s="125">
        <v>22</v>
      </c>
      <c r="L150" s="112">
        <f>EDUVIAL_2023[[#This Row],[HOMBRE]]+EDUVIAL_2023[[#This Row],[MUJER]]</f>
        <v>26</v>
      </c>
      <c r="M150" s="249">
        <v>0</v>
      </c>
      <c r="N150" s="106">
        <v>0</v>
      </c>
      <c r="O150" s="106">
        <v>0</v>
      </c>
      <c r="P150" s="106">
        <v>4</v>
      </c>
      <c r="Q150" s="106">
        <v>22</v>
      </c>
      <c r="R150" s="106">
        <v>0</v>
      </c>
      <c r="S150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26</v>
      </c>
      <c r="T150" s="120">
        <f>EDUVIAL_2023[[#This Row],[TOTAL SEXO]]</f>
        <v>26</v>
      </c>
      <c r="U150" s="106" t="str">
        <f>VLOOKUP(EDUVIAL_2023[[#This Row],[INSTITUCIÓN O EMPRESA]],LISTAS!$J$1:$M$85,3,0)</f>
        <v>Zona 9</v>
      </c>
      <c r="V150" s="106" t="str">
        <f>VLOOKUP(EDUVIAL_2023[[#This Row],[INSTITUCIÓN O EMPRESA]],LISTAS!$J$1:$M$85,4,0)</f>
        <v>Centro</v>
      </c>
      <c r="W150" s="125" t="str">
        <f>VLOOKUP(EDUVIAL_2023[[#This Row],[INSTITUCIÓN O EMPRESA]],LISTAS!$J$1:$M$85,2,0)</f>
        <v>6.168450558868997, -75.5896412723252</v>
      </c>
      <c r="X150" s="114" t="b">
        <f>EXACT(EDUVIAL_2023[[#This Row],[TOTAL SEXO]],EDUVIAL_2023[[#This Row],[TOTAL RANGOS]])</f>
        <v>1</v>
      </c>
      <c r="Y150" s="106"/>
    </row>
    <row r="151" spans="1:25" ht="28.9">
      <c r="A151" s="128">
        <v>45860</v>
      </c>
      <c r="B151" s="108" t="s">
        <v>342</v>
      </c>
      <c r="C151" s="104" t="s">
        <v>67</v>
      </c>
      <c r="D151" s="104" t="s">
        <v>371</v>
      </c>
      <c r="E151" s="121" t="s">
        <v>51</v>
      </c>
      <c r="F151" s="104" t="s">
        <v>43</v>
      </c>
      <c r="G151" s="121" t="s">
        <v>382</v>
      </c>
      <c r="H151" s="121" t="s">
        <v>340</v>
      </c>
      <c r="I151" s="104" t="s">
        <v>72</v>
      </c>
      <c r="J151" s="125">
        <v>20</v>
      </c>
      <c r="K151" s="125">
        <v>29</v>
      </c>
      <c r="L151" s="112">
        <f>EDUVIAL_2023[[#This Row],[HOMBRE]]+EDUVIAL_2023[[#This Row],[MUJER]]</f>
        <v>49</v>
      </c>
      <c r="M151" s="249">
        <v>44</v>
      </c>
      <c r="N151" s="106">
        <v>0</v>
      </c>
      <c r="O151" s="106">
        <v>0</v>
      </c>
      <c r="P151" s="106">
        <v>0</v>
      </c>
      <c r="Q151" s="106">
        <v>5</v>
      </c>
      <c r="R151" s="106">
        <v>0</v>
      </c>
      <c r="S151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49</v>
      </c>
      <c r="T151" s="120">
        <f>EDUVIAL_2023[[#This Row],[TOTAL SEXO]]</f>
        <v>49</v>
      </c>
      <c r="U151" s="106" t="str">
        <f>VLOOKUP(EDUVIAL_2023[[#This Row],[INSTITUCIÓN O EMPRESA]],LISTAS!$J$1:$M$85,3,0)</f>
        <v>Zona 9</v>
      </c>
      <c r="V151" s="106" t="str">
        <f>VLOOKUP(EDUVIAL_2023[[#This Row],[INSTITUCIÓN O EMPRESA]],LISTAS!$J$1:$M$85,4,0)</f>
        <v>Centro</v>
      </c>
      <c r="W151" s="125" t="str">
        <f>VLOOKUP(EDUVIAL_2023[[#This Row],[INSTITUCIÓN O EMPRESA]],LISTAS!$J$1:$M$85,2,0)</f>
        <v>6.168450558868997, -75.5896412723252</v>
      </c>
      <c r="X151" s="114" t="b">
        <f>EXACT(EDUVIAL_2023[[#This Row],[TOTAL SEXO]],EDUVIAL_2023[[#This Row],[TOTAL RANGOS]])</f>
        <v>1</v>
      </c>
      <c r="Y151" s="106"/>
    </row>
    <row r="152" spans="1:25" ht="28.9">
      <c r="A152" s="128">
        <v>45860</v>
      </c>
      <c r="B152" s="108" t="s">
        <v>342</v>
      </c>
      <c r="C152" s="104" t="s">
        <v>49</v>
      </c>
      <c r="D152" s="104" t="s">
        <v>89</v>
      </c>
      <c r="E152" s="121" t="s">
        <v>69</v>
      </c>
      <c r="F152" s="104" t="s">
        <v>79</v>
      </c>
      <c r="G152" s="121" t="s">
        <v>383</v>
      </c>
      <c r="H152" s="130" t="s">
        <v>384</v>
      </c>
      <c r="I152" s="104" t="s">
        <v>385</v>
      </c>
      <c r="J152" s="125">
        <v>0</v>
      </c>
      <c r="K152" s="125">
        <v>2</v>
      </c>
      <c r="L152" s="112">
        <f>EDUVIAL_2023[[#This Row],[HOMBRE]]+EDUVIAL_2023[[#This Row],[MUJER]]</f>
        <v>2</v>
      </c>
      <c r="M152" s="249">
        <v>0</v>
      </c>
      <c r="N152" s="106">
        <v>0</v>
      </c>
      <c r="O152" s="106">
        <v>0</v>
      </c>
      <c r="P152" s="106">
        <v>1</v>
      </c>
      <c r="Q152" s="106">
        <v>1</v>
      </c>
      <c r="R152" s="106">
        <v>0</v>
      </c>
      <c r="S152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</v>
      </c>
      <c r="T152" s="120">
        <f>EDUVIAL_2023[[#This Row],[TOTAL SEXO]]</f>
        <v>2</v>
      </c>
      <c r="U152" s="106" t="s">
        <v>33</v>
      </c>
      <c r="V152" s="106" t="s">
        <v>386</v>
      </c>
      <c r="W152" s="125" t="s">
        <v>387</v>
      </c>
      <c r="X152" s="114" t="b">
        <f>EXACT(EDUVIAL_2023[[#This Row],[TOTAL SEXO]],EDUVIAL_2023[[#This Row],[TOTAL RANGOS]])</f>
        <v>1</v>
      </c>
      <c r="Y152" s="106"/>
    </row>
    <row r="153" spans="1:25" ht="28.9">
      <c r="A153" s="128">
        <v>45861</v>
      </c>
      <c r="B153" s="108" t="s">
        <v>342</v>
      </c>
      <c r="C153" s="104" t="s">
        <v>67</v>
      </c>
      <c r="D153" s="104" t="s">
        <v>226</v>
      </c>
      <c r="E153" s="121" t="s">
        <v>51</v>
      </c>
      <c r="F153" s="104" t="s">
        <v>43</v>
      </c>
      <c r="G153" s="121" t="s">
        <v>388</v>
      </c>
      <c r="H153" s="121" t="s">
        <v>340</v>
      </c>
      <c r="I153" s="104" t="s">
        <v>72</v>
      </c>
      <c r="J153" s="125">
        <v>9</v>
      </c>
      <c r="K153" s="125">
        <v>16</v>
      </c>
      <c r="L153" s="112">
        <f>EDUVIAL_2023[[#This Row],[HOMBRE]]+EDUVIAL_2023[[#This Row],[MUJER]]</f>
        <v>25</v>
      </c>
      <c r="M153" s="249">
        <v>0</v>
      </c>
      <c r="N153" s="106">
        <v>24</v>
      </c>
      <c r="O153" s="106">
        <v>0</v>
      </c>
      <c r="P153" s="106">
        <v>0</v>
      </c>
      <c r="Q153" s="106">
        <v>1</v>
      </c>
      <c r="R153" s="106">
        <v>0</v>
      </c>
      <c r="S153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25</v>
      </c>
      <c r="T153" s="120">
        <f>EDUVIAL_2023[[#This Row],[TOTAL SEXO]]</f>
        <v>25</v>
      </c>
      <c r="U153" s="106" t="str">
        <f>VLOOKUP(EDUVIAL_2023[[#This Row],[INSTITUCIÓN O EMPRESA]],LISTAS!$J$1:$M$85,3,0)</f>
        <v>Zona 9</v>
      </c>
      <c r="V153" s="106" t="str">
        <f>VLOOKUP(EDUVIAL_2023[[#This Row],[INSTITUCIÓN O EMPRESA]],LISTAS!$J$1:$M$85,4,0)</f>
        <v>Centro</v>
      </c>
      <c r="W153" s="125" t="str">
        <f>VLOOKUP(EDUVIAL_2023[[#This Row],[INSTITUCIÓN O EMPRESA]],LISTAS!$J$1:$M$85,2,0)</f>
        <v>6.168450558868997, -75.5896412723252</v>
      </c>
      <c r="X153" s="114" t="b">
        <f>EXACT(EDUVIAL_2023[[#This Row],[TOTAL SEXO]],EDUVIAL_2023[[#This Row],[TOTAL RANGOS]])</f>
        <v>1</v>
      </c>
      <c r="Y153" s="106"/>
    </row>
    <row r="154" spans="1:25" ht="28.9">
      <c r="A154" s="128">
        <v>45861</v>
      </c>
      <c r="B154" s="108" t="s">
        <v>342</v>
      </c>
      <c r="C154" s="104" t="s">
        <v>67</v>
      </c>
      <c r="D154" s="104" t="s">
        <v>254</v>
      </c>
      <c r="E154" s="121" t="s">
        <v>227</v>
      </c>
      <c r="F154" s="104" t="s">
        <v>346</v>
      </c>
      <c r="G154" s="121" t="s">
        <v>389</v>
      </c>
      <c r="H154" s="121" t="s">
        <v>154</v>
      </c>
      <c r="I154" s="104" t="s">
        <v>155</v>
      </c>
      <c r="J154" s="125">
        <v>5</v>
      </c>
      <c r="K154" s="125">
        <v>4</v>
      </c>
      <c r="L154" s="112">
        <f>EDUVIAL_2023[[#This Row],[HOMBRE]]+EDUVIAL_2023[[#This Row],[MUJER]]</f>
        <v>9</v>
      </c>
      <c r="M154" s="249">
        <v>9</v>
      </c>
      <c r="N154" s="106">
        <v>0</v>
      </c>
      <c r="O154" s="106">
        <v>0</v>
      </c>
      <c r="P154" s="106">
        <v>0</v>
      </c>
      <c r="Q154" s="106">
        <v>0</v>
      </c>
      <c r="R154" s="106">
        <v>0</v>
      </c>
      <c r="S15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9</v>
      </c>
      <c r="T154" s="120">
        <f>EDUVIAL_2023[[#This Row],[TOTAL SEXO]]</f>
        <v>9</v>
      </c>
      <c r="U154" s="106" t="str">
        <f>VLOOKUP(EDUVIAL_2023[[#This Row],[INSTITUCIÓN O EMPRESA]],LISTAS!$J$1:$M$85,3,0)</f>
        <v>Zona 6</v>
      </c>
      <c r="V154" s="106" t="str">
        <f>VLOOKUP(EDUVIAL_2023[[#This Row],[INSTITUCIÓN O EMPRESA]],LISTAS!$J$1:$M$85,4,0)</f>
        <v>San Rafael</v>
      </c>
      <c r="W154" s="125" t="str">
        <f>VLOOKUP(EDUVIAL_2023[[#This Row],[INSTITUCIÓN O EMPRESA]],LISTAS!$J$1:$M$85,2,0)</f>
        <v>6.153470, -75.584819</v>
      </c>
      <c r="X154" s="114" t="b">
        <f>EXACT(EDUVIAL_2023[[#This Row],[TOTAL SEXO]],EDUVIAL_2023[[#This Row],[TOTAL RANGOS]])</f>
        <v>1</v>
      </c>
      <c r="Y154" s="106"/>
    </row>
    <row r="155" spans="1:25" ht="28.9">
      <c r="A155" s="128">
        <v>45861</v>
      </c>
      <c r="B155" s="108" t="s">
        <v>342</v>
      </c>
      <c r="C155" s="104" t="s">
        <v>49</v>
      </c>
      <c r="D155" s="104" t="s">
        <v>89</v>
      </c>
      <c r="E155" s="121" t="s">
        <v>51</v>
      </c>
      <c r="F155" s="104" t="s">
        <v>79</v>
      </c>
      <c r="G155" s="121" t="s">
        <v>390</v>
      </c>
      <c r="H155" s="130" t="s">
        <v>384</v>
      </c>
      <c r="I155" s="104" t="s">
        <v>385</v>
      </c>
      <c r="J155" s="125">
        <v>5</v>
      </c>
      <c r="K155" s="125">
        <v>10</v>
      </c>
      <c r="L155" s="112">
        <f>EDUVIAL_2023[[#This Row],[HOMBRE]]+EDUVIAL_2023[[#This Row],[MUJER]]</f>
        <v>15</v>
      </c>
      <c r="M155" s="249">
        <v>0</v>
      </c>
      <c r="N155" s="106">
        <v>0</v>
      </c>
      <c r="O155" s="106">
        <v>0</v>
      </c>
      <c r="P155" s="106">
        <v>10</v>
      </c>
      <c r="Q155" s="106">
        <v>5</v>
      </c>
      <c r="R155" s="106">
        <v>0</v>
      </c>
      <c r="S15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15</v>
      </c>
      <c r="T155" s="120">
        <f>EDUVIAL_2023[[#This Row],[TOTAL SEXO]]</f>
        <v>15</v>
      </c>
      <c r="U155" s="106" t="s">
        <v>33</v>
      </c>
      <c r="V155" s="106" t="s">
        <v>386</v>
      </c>
      <c r="W155" s="125" t="s">
        <v>387</v>
      </c>
      <c r="X155" s="114" t="b">
        <f>EXACT(EDUVIAL_2023[[#This Row],[TOTAL SEXO]],EDUVIAL_2023[[#This Row],[TOTAL RANGOS]])</f>
        <v>1</v>
      </c>
      <c r="Y155" s="106"/>
    </row>
    <row r="156" spans="1:25" ht="28.9">
      <c r="A156" s="128">
        <v>45862</v>
      </c>
      <c r="B156" s="108" t="s">
        <v>342</v>
      </c>
      <c r="C156" s="104" t="s">
        <v>67</v>
      </c>
      <c r="D156" s="104" t="s">
        <v>226</v>
      </c>
      <c r="E156" s="121" t="s">
        <v>51</v>
      </c>
      <c r="F156" s="104" t="s">
        <v>43</v>
      </c>
      <c r="G156" s="121" t="s">
        <v>391</v>
      </c>
      <c r="H156" s="121" t="s">
        <v>340</v>
      </c>
      <c r="I156" s="104" t="s">
        <v>72</v>
      </c>
      <c r="J156" s="125">
        <v>15</v>
      </c>
      <c r="K156" s="125">
        <v>17</v>
      </c>
      <c r="L156" s="112">
        <f>EDUVIAL_2023[[#This Row],[HOMBRE]]+EDUVIAL_2023[[#This Row],[MUJER]]</f>
        <v>32</v>
      </c>
      <c r="M156" s="249">
        <v>0</v>
      </c>
      <c r="N156" s="106">
        <v>30</v>
      </c>
      <c r="O156" s="106">
        <v>0</v>
      </c>
      <c r="P156" s="106">
        <v>0</v>
      </c>
      <c r="Q156" s="106">
        <v>1</v>
      </c>
      <c r="R156" s="106">
        <v>1</v>
      </c>
      <c r="S15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32</v>
      </c>
      <c r="T156" s="120">
        <f>EDUVIAL_2023[[#This Row],[TOTAL SEXO]]</f>
        <v>32</v>
      </c>
      <c r="U156" s="106" t="str">
        <f>VLOOKUP(EDUVIAL_2023[[#This Row],[INSTITUCIÓN O EMPRESA]],LISTAS!$J$1:$M$85,3,0)</f>
        <v>Zona 9</v>
      </c>
      <c r="V156" s="106" t="str">
        <f>VLOOKUP(EDUVIAL_2023[[#This Row],[INSTITUCIÓN O EMPRESA]],LISTAS!$J$1:$M$85,4,0)</f>
        <v>Centro</v>
      </c>
      <c r="W156" s="125" t="str">
        <f>VLOOKUP(EDUVIAL_2023[[#This Row],[INSTITUCIÓN O EMPRESA]],LISTAS!$J$1:$M$85,2,0)</f>
        <v>6.168450558868997, -75.5896412723252</v>
      </c>
      <c r="X156" s="114" t="b">
        <f>EXACT(EDUVIAL_2023[[#This Row],[TOTAL SEXO]],EDUVIAL_2023[[#This Row],[TOTAL RANGOS]])</f>
        <v>1</v>
      </c>
      <c r="Y156" s="106"/>
    </row>
    <row r="157" spans="1:25" ht="28.9">
      <c r="A157" s="128">
        <v>45862</v>
      </c>
      <c r="B157" s="108" t="s">
        <v>342</v>
      </c>
      <c r="C157" s="104" t="s">
        <v>176</v>
      </c>
      <c r="D157" s="104" t="s">
        <v>37</v>
      </c>
      <c r="E157" s="121" t="s">
        <v>38</v>
      </c>
      <c r="F157" s="104" t="s">
        <v>43</v>
      </c>
      <c r="G157" s="23" t="s">
        <v>39</v>
      </c>
      <c r="H157" s="121" t="s">
        <v>340</v>
      </c>
      <c r="I157" s="104" t="s">
        <v>392</v>
      </c>
      <c r="J157" s="125">
        <v>1</v>
      </c>
      <c r="K157" s="125">
        <v>0</v>
      </c>
      <c r="L157" s="112">
        <f>EDUVIAL_2023[[#This Row],[HOMBRE]]+EDUVIAL_2023[[#This Row],[MUJER]]</f>
        <v>1</v>
      </c>
      <c r="M157" s="249">
        <v>0</v>
      </c>
      <c r="N157" s="106">
        <v>0</v>
      </c>
      <c r="O157" s="106">
        <v>0</v>
      </c>
      <c r="P157" s="106">
        <v>1</v>
      </c>
      <c r="Q157" s="106">
        <v>0</v>
      </c>
      <c r="R157" s="106">
        <v>0</v>
      </c>
      <c r="S15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157" s="120">
        <f>EDUVIAL_2023[[#This Row],[TOTAL SEXO]]</f>
        <v>1</v>
      </c>
      <c r="U157" s="106" t="str">
        <f>VLOOKUP(EDUVIAL_2023[[#This Row],[INSTITUCIÓN O EMPRESA]],LISTAS!$J$1:$M$85,3,0)</f>
        <v>Zona 9</v>
      </c>
      <c r="V157" s="106" t="str">
        <f>VLOOKUP(EDUVIAL_2023[[#This Row],[INSTITUCIÓN O EMPRESA]],LISTAS!$J$1:$M$85,4,0)</f>
        <v>Centro</v>
      </c>
      <c r="W157" s="125" t="str">
        <f>VLOOKUP(EDUVIAL_2023[[#This Row],[INSTITUCIÓN O EMPRESA]],LISTAS!$J$1:$M$85,2,0)</f>
        <v>6.168450558868997, -75.5896412723252</v>
      </c>
      <c r="X157" s="114" t="b">
        <f>EXACT(EDUVIAL_2023[[#This Row],[TOTAL SEXO]],EDUVIAL_2023[[#This Row],[TOTAL RANGOS]])</f>
        <v>1</v>
      </c>
      <c r="Y157" s="106"/>
    </row>
    <row r="158" spans="1:25" ht="28.9">
      <c r="A158" s="150">
        <v>45867</v>
      </c>
      <c r="B158" s="115" t="s">
        <v>342</v>
      </c>
      <c r="C158" s="129" t="s">
        <v>67</v>
      </c>
      <c r="D158" s="129" t="s">
        <v>371</v>
      </c>
      <c r="E158" s="130" t="s">
        <v>51</v>
      </c>
      <c r="F158" s="129" t="s">
        <v>43</v>
      </c>
      <c r="G158" s="121" t="s">
        <v>393</v>
      </c>
      <c r="H158" s="130" t="s">
        <v>340</v>
      </c>
      <c r="I158" s="129" t="s">
        <v>394</v>
      </c>
      <c r="J158" s="166">
        <v>15</v>
      </c>
      <c r="K158" s="166">
        <v>21</v>
      </c>
      <c r="L158" s="131">
        <f>EDUVIAL_2023[[#This Row],[HOMBRE]]+EDUVIAL_2023[[#This Row],[MUJER]]</f>
        <v>36</v>
      </c>
      <c r="M158" s="250">
        <v>0</v>
      </c>
      <c r="N158" s="116">
        <v>26</v>
      </c>
      <c r="O158" s="116">
        <v>0</v>
      </c>
      <c r="P158" s="116">
        <v>2</v>
      </c>
      <c r="Q158" s="116">
        <v>8</v>
      </c>
      <c r="R158" s="116">
        <v>0</v>
      </c>
      <c r="S158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36</v>
      </c>
      <c r="T158" s="132">
        <f>EDUVIAL_2023[[#This Row],[TOTAL SEXO]]</f>
        <v>36</v>
      </c>
      <c r="U158" s="116" t="str">
        <f>VLOOKUP(EDUVIAL_2023[[#This Row],[INSTITUCIÓN O EMPRESA]],LISTAS!$J$1:$M$85,3,0)</f>
        <v>Zona 9</v>
      </c>
      <c r="V158" s="116" t="str">
        <f>VLOOKUP(EDUVIAL_2023[[#This Row],[INSTITUCIÓN O EMPRESA]],LISTAS!$J$1:$M$85,4,0)</f>
        <v>Centro</v>
      </c>
      <c r="W158" s="166" t="str">
        <f>VLOOKUP(EDUVIAL_2023[[#This Row],[INSTITUCIÓN O EMPRESA]],LISTAS!$J$1:$M$85,2,0)</f>
        <v>6.168450558868997, -75.5896412723252</v>
      </c>
      <c r="X158" s="117" t="b">
        <f>EXACT(EDUVIAL_2023[[#This Row],[TOTAL SEXO]],EDUVIAL_2023[[#This Row],[TOTAL RANGOS]])</f>
        <v>1</v>
      </c>
      <c r="Y158" s="116"/>
    </row>
    <row r="159" spans="1:25">
      <c r="A159" s="150">
        <v>45867</v>
      </c>
      <c r="B159" s="115" t="s">
        <v>342</v>
      </c>
      <c r="C159" s="104" t="s">
        <v>49</v>
      </c>
      <c r="D159" s="104" t="s">
        <v>217</v>
      </c>
      <c r="E159" s="121" t="s">
        <v>69</v>
      </c>
      <c r="F159" s="104" t="s">
        <v>346</v>
      </c>
      <c r="G159" s="121" t="s">
        <v>395</v>
      </c>
      <c r="H159" s="130" t="s">
        <v>396</v>
      </c>
      <c r="I159" s="104" t="s">
        <v>397</v>
      </c>
      <c r="J159" s="125">
        <v>2</v>
      </c>
      <c r="K159" s="125">
        <v>2</v>
      </c>
      <c r="L159" s="112">
        <f>EDUVIAL_2023[[#This Row],[HOMBRE]]+EDUVIAL_2023[[#This Row],[MUJER]]</f>
        <v>4</v>
      </c>
      <c r="M159" s="249">
        <v>0</v>
      </c>
      <c r="N159" s="106">
        <v>0</v>
      </c>
      <c r="O159" s="106">
        <v>0</v>
      </c>
      <c r="P159" s="106">
        <v>1</v>
      </c>
      <c r="Q159" s="106">
        <v>3</v>
      </c>
      <c r="R159" s="106">
        <v>0</v>
      </c>
      <c r="S159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4</v>
      </c>
      <c r="T159" s="120">
        <f>EDUVIAL_2023[[#This Row],[TOTAL SEXO]]</f>
        <v>4</v>
      </c>
      <c r="U159" s="116" t="s">
        <v>55</v>
      </c>
      <c r="V159" s="116" t="s">
        <v>56</v>
      </c>
      <c r="W159" s="166" t="s">
        <v>398</v>
      </c>
      <c r="X159" s="114" t="b">
        <f>EXACT(EDUVIAL_2023[[#This Row],[TOTAL SEXO]],EDUVIAL_2023[[#This Row],[TOTAL RANGOS]])</f>
        <v>1</v>
      </c>
      <c r="Y159" s="106"/>
    </row>
    <row r="160" spans="1:25">
      <c r="A160" s="150">
        <v>45867</v>
      </c>
      <c r="B160" s="115" t="s">
        <v>342</v>
      </c>
      <c r="C160" s="104" t="s">
        <v>176</v>
      </c>
      <c r="D160" s="104" t="s">
        <v>399</v>
      </c>
      <c r="E160" s="121" t="s">
        <v>69</v>
      </c>
      <c r="F160" s="104" t="s">
        <v>43</v>
      </c>
      <c r="G160" s="121" t="s">
        <v>400</v>
      </c>
      <c r="H160" s="130" t="s">
        <v>340</v>
      </c>
      <c r="I160" s="104" t="s">
        <v>401</v>
      </c>
      <c r="J160" s="125">
        <v>2</v>
      </c>
      <c r="K160" s="125">
        <v>1</v>
      </c>
      <c r="L160" s="112">
        <f>EDUVIAL_2023[[#This Row],[HOMBRE]]+EDUVIAL_2023[[#This Row],[MUJER]]</f>
        <v>3</v>
      </c>
      <c r="M160" s="249">
        <v>0</v>
      </c>
      <c r="N160" s="106">
        <v>0</v>
      </c>
      <c r="O160" s="106">
        <v>3</v>
      </c>
      <c r="P160" s="106">
        <v>0</v>
      </c>
      <c r="Q160" s="106">
        <v>0</v>
      </c>
      <c r="R160" s="106">
        <v>0</v>
      </c>
      <c r="S160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</v>
      </c>
      <c r="T160" s="120">
        <f>EDUVIAL_2023[[#This Row],[TOTAL SEXO]]</f>
        <v>3</v>
      </c>
      <c r="U160" s="106" t="str">
        <f>VLOOKUP(EDUVIAL_2023[[#This Row],[INSTITUCIÓN O EMPRESA]],LISTAS!$J$1:$M$85,3,0)</f>
        <v>Zona 9</v>
      </c>
      <c r="V160" s="106" t="str">
        <f>VLOOKUP(EDUVIAL_2023[[#This Row],[INSTITUCIÓN O EMPRESA]],LISTAS!$J$1:$M$85,4,0)</f>
        <v>Centro</v>
      </c>
      <c r="W160" s="125" t="str">
        <f>VLOOKUP(EDUVIAL_2023[[#This Row],[INSTITUCIÓN O EMPRESA]],LISTAS!$J$1:$M$85,2,0)</f>
        <v>6.168450558868997, -75.5896412723252</v>
      </c>
      <c r="X160" s="114" t="b">
        <f>EXACT(EDUVIAL_2023[[#This Row],[TOTAL SEXO]],EDUVIAL_2023[[#This Row],[TOTAL RANGOS]])</f>
        <v>1</v>
      </c>
      <c r="Y160" s="106"/>
    </row>
    <row r="161" spans="1:25" ht="28.9">
      <c r="A161" s="128">
        <v>45868</v>
      </c>
      <c r="B161" s="108" t="s">
        <v>342</v>
      </c>
      <c r="C161" s="104" t="s">
        <v>67</v>
      </c>
      <c r="D161" s="104" t="s">
        <v>371</v>
      </c>
      <c r="E161" s="121" t="s">
        <v>51</v>
      </c>
      <c r="F161" s="104" t="s">
        <v>43</v>
      </c>
      <c r="G161" s="121" t="s">
        <v>393</v>
      </c>
      <c r="H161" s="121" t="s">
        <v>340</v>
      </c>
      <c r="I161" s="129" t="s">
        <v>402</v>
      </c>
      <c r="J161" s="125">
        <v>21</v>
      </c>
      <c r="K161" s="125">
        <v>21</v>
      </c>
      <c r="L161" s="112">
        <f>EDUVIAL_2023[[#This Row],[HOMBRE]]+EDUVIAL_2023[[#This Row],[MUJER]]</f>
        <v>42</v>
      </c>
      <c r="M161" s="249">
        <v>0</v>
      </c>
      <c r="N161" s="106">
        <v>40</v>
      </c>
      <c r="O161" s="106">
        <v>0</v>
      </c>
      <c r="P161" s="106">
        <v>0</v>
      </c>
      <c r="Q161" s="106">
        <v>2</v>
      </c>
      <c r="R161" s="106">
        <v>0</v>
      </c>
      <c r="S161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42</v>
      </c>
      <c r="T161" s="120">
        <f>EDUVIAL_2023[[#This Row],[TOTAL SEXO]]</f>
        <v>42</v>
      </c>
      <c r="U161" s="106" t="str">
        <f>VLOOKUP(EDUVIAL_2023[[#This Row],[INSTITUCIÓN O EMPRESA]],LISTAS!$J$1:$M$85,3,0)</f>
        <v>Zona 9</v>
      </c>
      <c r="V161" s="106" t="str">
        <f>VLOOKUP(EDUVIAL_2023[[#This Row],[INSTITUCIÓN O EMPRESA]],LISTAS!$J$1:$M$85,4,0)</f>
        <v>Centro</v>
      </c>
      <c r="W161" s="125" t="str">
        <f>VLOOKUP(EDUVIAL_2023[[#This Row],[INSTITUCIÓN O EMPRESA]],LISTAS!$J$1:$M$85,2,0)</f>
        <v>6.168450558868997, -75.5896412723252</v>
      </c>
      <c r="X161" s="114" t="b">
        <f>EXACT(EDUVIAL_2023[[#This Row],[TOTAL SEXO]],EDUVIAL_2023[[#This Row],[TOTAL RANGOS]])</f>
        <v>1</v>
      </c>
      <c r="Y161" s="106"/>
    </row>
    <row r="162" spans="1:25">
      <c r="A162" s="128">
        <v>45868</v>
      </c>
      <c r="B162" s="108" t="s">
        <v>342</v>
      </c>
      <c r="C162" s="104" t="s">
        <v>67</v>
      </c>
      <c r="D162" s="104" t="s">
        <v>217</v>
      </c>
      <c r="E162" s="121" t="s">
        <v>69</v>
      </c>
      <c r="F162" s="104" t="s">
        <v>43</v>
      </c>
      <c r="G162" s="121" t="s">
        <v>403</v>
      </c>
      <c r="H162" s="121" t="s">
        <v>404</v>
      </c>
      <c r="I162" s="104" t="s">
        <v>405</v>
      </c>
      <c r="J162" s="125">
        <v>0</v>
      </c>
      <c r="K162" s="125">
        <v>2</v>
      </c>
      <c r="L162" s="112">
        <f>EDUVIAL_2023[[#This Row],[HOMBRE]]+EDUVIAL_2023[[#This Row],[MUJER]]</f>
        <v>2</v>
      </c>
      <c r="M162" s="249">
        <v>0</v>
      </c>
      <c r="N162" s="106">
        <v>0</v>
      </c>
      <c r="O162" s="106">
        <v>0</v>
      </c>
      <c r="P162" s="106">
        <v>0</v>
      </c>
      <c r="Q162" s="106">
        <v>2</v>
      </c>
      <c r="R162" s="106">
        <v>0</v>
      </c>
      <c r="S162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</v>
      </c>
      <c r="T162" s="120">
        <f>EDUVIAL_2023[[#This Row],[TOTAL SEXO]]</f>
        <v>2</v>
      </c>
      <c r="U162" s="106" t="s">
        <v>145</v>
      </c>
      <c r="V162" s="106" t="s">
        <v>406</v>
      </c>
      <c r="W162" s="125" t="s">
        <v>407</v>
      </c>
      <c r="X162" s="114" t="b">
        <f>EXACT(EDUVIAL_2023[[#This Row],[TOTAL SEXO]],EDUVIAL_2023[[#This Row],[TOTAL RANGOS]])</f>
        <v>1</v>
      </c>
      <c r="Y162" s="106"/>
    </row>
    <row r="163" spans="1:25">
      <c r="A163" s="128">
        <v>45868</v>
      </c>
      <c r="B163" s="108" t="s">
        <v>342</v>
      </c>
      <c r="C163" s="104" t="s">
        <v>67</v>
      </c>
      <c r="D163" s="104" t="s">
        <v>217</v>
      </c>
      <c r="E163" s="121" t="s">
        <v>69</v>
      </c>
      <c r="F163" s="104" t="s">
        <v>43</v>
      </c>
      <c r="G163" s="121" t="s">
        <v>408</v>
      </c>
      <c r="H163" s="121" t="s">
        <v>409</v>
      </c>
      <c r="I163" s="104" t="s">
        <v>410</v>
      </c>
      <c r="J163" s="125">
        <v>0</v>
      </c>
      <c r="K163" s="125">
        <v>1</v>
      </c>
      <c r="L163" s="112">
        <f>EDUVIAL_2023[[#This Row],[HOMBRE]]+EDUVIAL_2023[[#This Row],[MUJER]]</f>
        <v>1</v>
      </c>
      <c r="M163" s="249">
        <v>0</v>
      </c>
      <c r="N163" s="106">
        <v>0</v>
      </c>
      <c r="O163" s="106">
        <v>0</v>
      </c>
      <c r="P163" s="106">
        <v>0</v>
      </c>
      <c r="Q163" s="106">
        <v>1</v>
      </c>
      <c r="R163" s="106">
        <v>0</v>
      </c>
      <c r="S163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163" s="120">
        <f>EDUVIAL_2023[[#This Row],[TOTAL SEXO]]</f>
        <v>1</v>
      </c>
      <c r="U163" s="106" t="str">
        <f>VLOOKUP(EDUVIAL_2023[[#This Row],[INSTITUCIÓN O EMPRESA]],LISTAS!$J$1:$M$85,3,0)</f>
        <v>Zona 9</v>
      </c>
      <c r="V163" s="106" t="s">
        <v>108</v>
      </c>
      <c r="W163" s="125" t="s">
        <v>411</v>
      </c>
      <c r="X163" s="114" t="b">
        <f>EXACT(EDUVIAL_2023[[#This Row],[TOTAL SEXO]],EDUVIAL_2023[[#This Row],[TOTAL RANGOS]])</f>
        <v>1</v>
      </c>
      <c r="Y163" s="106"/>
    </row>
    <row r="164" spans="1:25" ht="28.9">
      <c r="A164" s="128">
        <v>45868</v>
      </c>
      <c r="B164" s="108" t="s">
        <v>342</v>
      </c>
      <c r="C164" s="104" t="s">
        <v>49</v>
      </c>
      <c r="D164" s="104" t="s">
        <v>217</v>
      </c>
      <c r="E164" s="121" t="s">
        <v>51</v>
      </c>
      <c r="F164" s="104" t="s">
        <v>79</v>
      </c>
      <c r="G164" s="121" t="s">
        <v>412</v>
      </c>
      <c r="H164" s="121" t="s">
        <v>413</v>
      </c>
      <c r="I164" s="104" t="s">
        <v>414</v>
      </c>
      <c r="J164" s="125">
        <v>5</v>
      </c>
      <c r="K164" s="125">
        <v>6</v>
      </c>
      <c r="L164" s="112">
        <f>EDUVIAL_2023[[#This Row],[HOMBRE]]+EDUVIAL_2023[[#This Row],[MUJER]]</f>
        <v>11</v>
      </c>
      <c r="M164" s="249">
        <v>0</v>
      </c>
      <c r="N164" s="106">
        <v>0</v>
      </c>
      <c r="O164" s="106">
        <v>0</v>
      </c>
      <c r="P164" s="106">
        <v>2</v>
      </c>
      <c r="Q164" s="106">
        <v>9</v>
      </c>
      <c r="R164" s="106">
        <v>0</v>
      </c>
      <c r="S16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11</v>
      </c>
      <c r="T164" s="120">
        <f>EDUVIAL_2023[[#This Row],[TOTAL SEXO]]</f>
        <v>11</v>
      </c>
      <c r="U164" s="106" t="s">
        <v>33</v>
      </c>
      <c r="V164" s="106" t="s">
        <v>386</v>
      </c>
      <c r="W164" s="125" t="s">
        <v>415</v>
      </c>
      <c r="X164" s="114" t="b">
        <f>EXACT(EDUVIAL_2023[[#This Row],[TOTAL SEXO]],EDUVIAL_2023[[#This Row],[TOTAL RANGOS]])</f>
        <v>1</v>
      </c>
      <c r="Y164" s="106"/>
    </row>
    <row r="165" spans="1:25" ht="28.9">
      <c r="A165" s="128">
        <v>45869</v>
      </c>
      <c r="B165" s="108" t="s">
        <v>342</v>
      </c>
      <c r="C165" s="104" t="s">
        <v>67</v>
      </c>
      <c r="D165" s="104" t="s">
        <v>226</v>
      </c>
      <c r="E165" s="121" t="s">
        <v>51</v>
      </c>
      <c r="F165" s="104" t="s">
        <v>43</v>
      </c>
      <c r="G165" s="121" t="s">
        <v>416</v>
      </c>
      <c r="H165" s="121" t="s">
        <v>340</v>
      </c>
      <c r="I165" s="129" t="s">
        <v>417</v>
      </c>
      <c r="J165" s="125">
        <v>15</v>
      </c>
      <c r="K165" s="125">
        <v>9</v>
      </c>
      <c r="L165" s="112">
        <f>EDUVIAL_2023[[#This Row],[HOMBRE]]+EDUVIAL_2023[[#This Row],[MUJER]]</f>
        <v>24</v>
      </c>
      <c r="M165" s="249">
        <v>0</v>
      </c>
      <c r="N165" s="106">
        <v>22</v>
      </c>
      <c r="O165" s="106">
        <v>0</v>
      </c>
      <c r="P165" s="106">
        <v>0</v>
      </c>
      <c r="Q165" s="106">
        <v>2</v>
      </c>
      <c r="R165" s="106">
        <v>0</v>
      </c>
      <c r="S16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24</v>
      </c>
      <c r="T165" s="120">
        <f>EDUVIAL_2023[[#This Row],[TOTAL SEXO]]</f>
        <v>24</v>
      </c>
      <c r="U165" s="106" t="str">
        <f>VLOOKUP(EDUVIAL_2023[[#This Row],[INSTITUCIÓN O EMPRESA]],LISTAS!$J$1:$M$85,3,0)</f>
        <v>Zona 9</v>
      </c>
      <c r="V165" s="106" t="str">
        <f>VLOOKUP(EDUVIAL_2023[[#This Row],[INSTITUCIÓN O EMPRESA]],LISTAS!$J$1:$M$85,4,0)</f>
        <v>Centro</v>
      </c>
      <c r="W165" s="125" t="str">
        <f>VLOOKUP(EDUVIAL_2023[[#This Row],[INSTITUCIÓN O EMPRESA]],LISTAS!$J$1:$M$85,2,0)</f>
        <v>6.168450558868997, -75.5896412723252</v>
      </c>
      <c r="X165" s="114" t="b">
        <f>EXACT(EDUVIAL_2023[[#This Row],[TOTAL SEXO]],EDUVIAL_2023[[#This Row],[TOTAL RANGOS]])</f>
        <v>1</v>
      </c>
      <c r="Y165" s="106"/>
    </row>
    <row r="166" spans="1:25" ht="28.9">
      <c r="A166" s="128">
        <v>45869</v>
      </c>
      <c r="B166" s="108" t="s">
        <v>342</v>
      </c>
      <c r="C166" s="104" t="s">
        <v>67</v>
      </c>
      <c r="D166" s="104" t="s">
        <v>226</v>
      </c>
      <c r="E166" s="121" t="s">
        <v>51</v>
      </c>
      <c r="F166" s="104" t="s">
        <v>240</v>
      </c>
      <c r="G166" s="121" t="s">
        <v>416</v>
      </c>
      <c r="H166" s="121" t="s">
        <v>340</v>
      </c>
      <c r="I166" s="129" t="s">
        <v>418</v>
      </c>
      <c r="J166" s="125">
        <v>10</v>
      </c>
      <c r="K166" s="125">
        <v>16</v>
      </c>
      <c r="L166" s="112">
        <f>EDUVIAL_2023[[#This Row],[HOMBRE]]+EDUVIAL_2023[[#This Row],[MUJER]]</f>
        <v>26</v>
      </c>
      <c r="M166" s="249">
        <v>0</v>
      </c>
      <c r="N166" s="106">
        <v>25</v>
      </c>
      <c r="O166" s="106">
        <v>0</v>
      </c>
      <c r="P166" s="106">
        <v>0</v>
      </c>
      <c r="Q166" s="106">
        <v>0</v>
      </c>
      <c r="R166" s="106">
        <v>1</v>
      </c>
      <c r="S16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26</v>
      </c>
      <c r="T166" s="120">
        <f>EDUVIAL_2023[[#This Row],[TOTAL SEXO]]</f>
        <v>26</v>
      </c>
      <c r="U166" s="106" t="str">
        <f>VLOOKUP(EDUVIAL_2023[[#This Row],[INSTITUCIÓN O EMPRESA]],LISTAS!$J$1:$M$85,3,0)</f>
        <v>Zona 9</v>
      </c>
      <c r="V166" s="106" t="str">
        <f>VLOOKUP(EDUVIAL_2023[[#This Row],[INSTITUCIÓN O EMPRESA]],LISTAS!$J$1:$M$85,4,0)</f>
        <v>Centro</v>
      </c>
      <c r="W166" s="125" t="str">
        <f>VLOOKUP(EDUVIAL_2023[[#This Row],[INSTITUCIÓN O EMPRESA]],LISTAS!$J$1:$M$85,2,0)</f>
        <v>6.168450558868997, -75.5896412723252</v>
      </c>
      <c r="X166" s="114" t="b">
        <f>EXACT(EDUVIAL_2023[[#This Row],[TOTAL SEXO]],EDUVIAL_2023[[#This Row],[TOTAL RANGOS]])</f>
        <v>1</v>
      </c>
      <c r="Y166" s="106"/>
    </row>
    <row r="167" spans="1:25" ht="28.9">
      <c r="A167" s="128">
        <v>45869</v>
      </c>
      <c r="B167" s="108" t="s">
        <v>342</v>
      </c>
      <c r="C167" s="104" t="s">
        <v>67</v>
      </c>
      <c r="D167" s="104" t="s">
        <v>226</v>
      </c>
      <c r="E167" s="121" t="s">
        <v>51</v>
      </c>
      <c r="F167" s="104" t="s">
        <v>346</v>
      </c>
      <c r="G167" s="121" t="s">
        <v>416</v>
      </c>
      <c r="H167" s="121" t="s">
        <v>340</v>
      </c>
      <c r="I167" s="129" t="s">
        <v>419</v>
      </c>
      <c r="J167" s="125">
        <v>5</v>
      </c>
      <c r="K167" s="125">
        <v>10</v>
      </c>
      <c r="L167" s="112">
        <f>EDUVIAL_2023[[#This Row],[HOMBRE]]+EDUVIAL_2023[[#This Row],[MUJER]]</f>
        <v>15</v>
      </c>
      <c r="M167" s="249">
        <v>0</v>
      </c>
      <c r="N167" s="106">
        <v>13</v>
      </c>
      <c r="O167" s="106">
        <v>0</v>
      </c>
      <c r="P167" s="106">
        <v>0</v>
      </c>
      <c r="Q167" s="106">
        <v>2</v>
      </c>
      <c r="R167" s="106">
        <v>0</v>
      </c>
      <c r="S16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15</v>
      </c>
      <c r="T167" s="120">
        <f>EDUVIAL_2023[[#This Row],[TOTAL SEXO]]</f>
        <v>15</v>
      </c>
      <c r="U167" s="106" t="str">
        <f>VLOOKUP(EDUVIAL_2023[[#This Row],[INSTITUCIÓN O EMPRESA]],LISTAS!$J$1:$M$85,3,0)</f>
        <v>Zona 9</v>
      </c>
      <c r="V167" s="106" t="str">
        <f>VLOOKUP(EDUVIAL_2023[[#This Row],[INSTITUCIÓN O EMPRESA]],LISTAS!$J$1:$M$85,4,0)</f>
        <v>Centro</v>
      </c>
      <c r="W167" s="125" t="str">
        <f>VLOOKUP(EDUVIAL_2023[[#This Row],[INSTITUCIÓN O EMPRESA]],LISTAS!$J$1:$M$85,2,0)</f>
        <v>6.168450558868997, -75.5896412723252</v>
      </c>
      <c r="X167" s="114" t="b">
        <f>EXACT(EDUVIAL_2023[[#This Row],[TOTAL SEXO]],EDUVIAL_2023[[#This Row],[TOTAL RANGOS]])</f>
        <v>1</v>
      </c>
      <c r="Y167" s="106"/>
    </row>
    <row r="168" spans="1:25">
      <c r="A168" s="128">
        <v>45870</v>
      </c>
      <c r="B168" s="108" t="s">
        <v>420</v>
      </c>
      <c r="C168" s="104" t="s">
        <v>36</v>
      </c>
      <c r="D168" s="104" t="s">
        <v>37</v>
      </c>
      <c r="E168" s="121" t="s">
        <v>38</v>
      </c>
      <c r="F168" s="104" t="s">
        <v>43</v>
      </c>
      <c r="G168" s="121" t="s">
        <v>421</v>
      </c>
      <c r="H168" s="121" t="s">
        <v>340</v>
      </c>
      <c r="I168" s="104" t="s">
        <v>422</v>
      </c>
      <c r="J168" s="125">
        <v>1</v>
      </c>
      <c r="K168" s="125">
        <v>0</v>
      </c>
      <c r="L168" s="112">
        <f>EDUVIAL_2023[[#This Row],[HOMBRE]]+EDUVIAL_2023[[#This Row],[MUJER]]</f>
        <v>1</v>
      </c>
      <c r="M168" s="249">
        <v>0</v>
      </c>
      <c r="N168" s="106">
        <v>0</v>
      </c>
      <c r="O168" s="106">
        <v>0</v>
      </c>
      <c r="P168" s="106">
        <v>0</v>
      </c>
      <c r="Q168" s="106">
        <v>1</v>
      </c>
      <c r="R168" s="106">
        <v>0</v>
      </c>
      <c r="S168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168" s="120">
        <f>EDUVIAL_2023[[#This Row],[TOTAL SEXO]]</f>
        <v>1</v>
      </c>
      <c r="U168" s="106" t="str">
        <f>VLOOKUP(EDUVIAL_2023[[#This Row],[INSTITUCIÓN O EMPRESA]],LISTAS!$J$1:$M$85,3,0)</f>
        <v>Zona 9</v>
      </c>
      <c r="V168" s="106" t="str">
        <f>VLOOKUP(EDUVIAL_2023[[#This Row],[INSTITUCIÓN O EMPRESA]],LISTAS!$J$1:$M$85,4,0)</f>
        <v>Centro</v>
      </c>
      <c r="W168" s="125" t="str">
        <f>VLOOKUP(EDUVIAL_2023[[#This Row],[INSTITUCIÓN O EMPRESA]],LISTAS!$J$1:$M$85,2,0)</f>
        <v>6.168450558868997, -75.5896412723252</v>
      </c>
      <c r="X168" s="114" t="b">
        <f>EXACT(EDUVIAL_2023[[#This Row],[TOTAL SEXO]],EDUVIAL_2023[[#This Row],[TOTAL RANGOS]])</f>
        <v>1</v>
      </c>
      <c r="Y168" s="106"/>
    </row>
    <row r="169" spans="1:25">
      <c r="A169" s="128">
        <v>45873</v>
      </c>
      <c r="B169" s="108" t="s">
        <v>420</v>
      </c>
      <c r="C169" s="104" t="s">
        <v>36</v>
      </c>
      <c r="D169" s="104" t="s">
        <v>37</v>
      </c>
      <c r="E169" s="121" t="s">
        <v>38</v>
      </c>
      <c r="F169" s="104" t="s">
        <v>43</v>
      </c>
      <c r="G169" s="121" t="s">
        <v>423</v>
      </c>
      <c r="H169" s="121" t="s">
        <v>340</v>
      </c>
      <c r="I169" s="104" t="s">
        <v>424</v>
      </c>
      <c r="J169" s="125">
        <v>1</v>
      </c>
      <c r="K169" s="125">
        <v>0</v>
      </c>
      <c r="L169" s="112">
        <f>EDUVIAL_2023[[#This Row],[HOMBRE]]+EDUVIAL_2023[[#This Row],[MUJER]]</f>
        <v>1</v>
      </c>
      <c r="M169" s="249">
        <v>0</v>
      </c>
      <c r="N169" s="106">
        <v>0</v>
      </c>
      <c r="O169" s="106">
        <v>0</v>
      </c>
      <c r="P169" s="106">
        <v>1</v>
      </c>
      <c r="Q169" s="106">
        <v>0</v>
      </c>
      <c r="R169" s="106">
        <v>0</v>
      </c>
      <c r="S169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169" s="120">
        <f>EDUVIAL_2023[[#This Row],[TOTAL SEXO]]</f>
        <v>1</v>
      </c>
      <c r="U169" s="106" t="str">
        <f>VLOOKUP(EDUVIAL_2023[[#This Row],[INSTITUCIÓN O EMPRESA]],LISTAS!$J$1:$M$85,3,0)</f>
        <v>Zona 9</v>
      </c>
      <c r="V169" s="106" t="str">
        <f>VLOOKUP(EDUVIAL_2023[[#This Row],[INSTITUCIÓN O EMPRESA]],LISTAS!$J$1:$M$85,4,0)</f>
        <v>Centro</v>
      </c>
      <c r="W169" s="125" t="str">
        <f>VLOOKUP(EDUVIAL_2023[[#This Row],[INSTITUCIÓN O EMPRESA]],LISTAS!$J$1:$M$85,2,0)</f>
        <v>6.168450558868997, -75.5896412723252</v>
      </c>
      <c r="X169" s="114" t="b">
        <f>EXACT(EDUVIAL_2023[[#This Row],[TOTAL SEXO]],EDUVIAL_2023[[#This Row],[TOTAL RANGOS]])</f>
        <v>1</v>
      </c>
      <c r="Y169" s="106"/>
    </row>
    <row r="170" spans="1:25">
      <c r="A170" s="128">
        <v>45873</v>
      </c>
      <c r="B170" s="108" t="s">
        <v>420</v>
      </c>
      <c r="C170" s="104" t="s">
        <v>67</v>
      </c>
      <c r="D170" s="104" t="s">
        <v>137</v>
      </c>
      <c r="E170" s="121" t="s">
        <v>69</v>
      </c>
      <c r="F170" s="104" t="s">
        <v>43</v>
      </c>
      <c r="G170" s="121" t="s">
        <v>425</v>
      </c>
      <c r="H170" s="121" t="s">
        <v>426</v>
      </c>
      <c r="I170" s="104" t="s">
        <v>427</v>
      </c>
      <c r="J170" s="125">
        <v>1</v>
      </c>
      <c r="K170" s="125">
        <v>0</v>
      </c>
      <c r="L170" s="112">
        <f>EDUVIAL_2023[[#This Row],[HOMBRE]]+EDUVIAL_2023[[#This Row],[MUJER]]</f>
        <v>1</v>
      </c>
      <c r="M170" s="249">
        <v>0</v>
      </c>
      <c r="N170" s="106">
        <v>0</v>
      </c>
      <c r="O170" s="106">
        <v>0</v>
      </c>
      <c r="P170" s="106">
        <v>0</v>
      </c>
      <c r="Q170" s="106">
        <v>1</v>
      </c>
      <c r="R170" s="106">
        <v>0</v>
      </c>
      <c r="S170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170" s="120">
        <f>EDUVIAL_2023[[#This Row],[TOTAL SEXO]]</f>
        <v>1</v>
      </c>
      <c r="U170" s="106" t="str">
        <f>VLOOKUP(EDUVIAL_2023[[#This Row],[INSTITUCIÓN O EMPRESA]],LISTAS!$J$1:$M$85,3,0)</f>
        <v>Zona 9</v>
      </c>
      <c r="V170" s="106" t="str">
        <f>VLOOKUP(EDUVIAL_2023[[#This Row],[INSTITUCIÓN O EMPRESA]],LISTAS!$J$1:$M$85,4,0)</f>
        <v>Centro</v>
      </c>
      <c r="W170" s="75" t="s">
        <v>428</v>
      </c>
      <c r="X170" s="114" t="b">
        <f>EXACT(EDUVIAL_2023[[#This Row],[TOTAL SEXO]],EDUVIAL_2023[[#This Row],[TOTAL RANGOS]])</f>
        <v>1</v>
      </c>
      <c r="Y170" s="106"/>
    </row>
    <row r="171" spans="1:25">
      <c r="A171" s="128">
        <v>45874</v>
      </c>
      <c r="B171" s="108" t="s">
        <v>420</v>
      </c>
      <c r="C171" s="104" t="s">
        <v>36</v>
      </c>
      <c r="D171" s="104" t="s">
        <v>37</v>
      </c>
      <c r="E171" s="121" t="s">
        <v>38</v>
      </c>
      <c r="F171" s="104" t="s">
        <v>43</v>
      </c>
      <c r="G171" s="121" t="s">
        <v>429</v>
      </c>
      <c r="H171" s="121" t="s">
        <v>340</v>
      </c>
      <c r="I171" s="104" t="s">
        <v>430</v>
      </c>
      <c r="J171" s="125">
        <v>1</v>
      </c>
      <c r="K171" s="125">
        <v>0</v>
      </c>
      <c r="L171" s="112">
        <f>EDUVIAL_2023[[#This Row],[HOMBRE]]+EDUVIAL_2023[[#This Row],[MUJER]]</f>
        <v>1</v>
      </c>
      <c r="M171" s="249">
        <v>0</v>
      </c>
      <c r="N171" s="106">
        <v>0</v>
      </c>
      <c r="O171" s="106">
        <v>0</v>
      </c>
      <c r="P171" s="106">
        <v>1</v>
      </c>
      <c r="Q171" s="106">
        <v>0</v>
      </c>
      <c r="R171" s="106">
        <v>0</v>
      </c>
      <c r="S171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171" s="120">
        <f>EDUVIAL_2023[[#This Row],[TOTAL SEXO]]</f>
        <v>1</v>
      </c>
      <c r="U171" s="106" t="str">
        <f>VLOOKUP(EDUVIAL_2023[[#This Row],[INSTITUCIÓN O EMPRESA]],LISTAS!$J$1:$M$85,3,0)</f>
        <v>Zona 9</v>
      </c>
      <c r="V171" s="106" t="str">
        <f>VLOOKUP(EDUVIAL_2023[[#This Row],[INSTITUCIÓN O EMPRESA]],LISTAS!$J$1:$M$85,4,0)</f>
        <v>Centro</v>
      </c>
      <c r="W171" s="125" t="str">
        <f>VLOOKUP(EDUVIAL_2023[[#This Row],[INSTITUCIÓN O EMPRESA]],LISTAS!$J$1:$M$85,2,0)</f>
        <v>6.168450558868997, -75.5896412723252</v>
      </c>
      <c r="X171" s="114" t="b">
        <f>EXACT(EDUVIAL_2023[[#This Row],[TOTAL SEXO]],EDUVIAL_2023[[#This Row],[TOTAL RANGOS]])</f>
        <v>1</v>
      </c>
      <c r="Y171" s="106"/>
    </row>
    <row r="172" spans="1:25" ht="28.9">
      <c r="A172" s="128">
        <v>45874</v>
      </c>
      <c r="B172" s="108" t="s">
        <v>420</v>
      </c>
      <c r="C172" s="104" t="s">
        <v>49</v>
      </c>
      <c r="D172" s="104" t="s">
        <v>89</v>
      </c>
      <c r="E172" s="121" t="s">
        <v>69</v>
      </c>
      <c r="F172" s="104" t="s">
        <v>79</v>
      </c>
      <c r="G172" s="121" t="s">
        <v>431</v>
      </c>
      <c r="H172" s="181" t="s">
        <v>357</v>
      </c>
      <c r="I172" s="104" t="s">
        <v>432</v>
      </c>
      <c r="J172" s="125">
        <v>1</v>
      </c>
      <c r="K172" s="125">
        <v>5</v>
      </c>
      <c r="L172" s="112">
        <f>EDUVIAL_2023[[#This Row],[HOMBRE]]+EDUVIAL_2023[[#This Row],[MUJER]]</f>
        <v>6</v>
      </c>
      <c r="M172" s="249">
        <v>0</v>
      </c>
      <c r="N172" s="106">
        <v>0</v>
      </c>
      <c r="O172" s="106">
        <v>0</v>
      </c>
      <c r="P172" s="106">
        <v>3</v>
      </c>
      <c r="Q172" s="106">
        <v>3</v>
      </c>
      <c r="R172" s="106">
        <v>0</v>
      </c>
      <c r="S172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6</v>
      </c>
      <c r="T172" s="120">
        <f>EDUVIAL_2023[[#This Row],[TOTAL SEXO]]</f>
        <v>6</v>
      </c>
      <c r="U172" s="79" t="str">
        <f>VLOOKUP(EDUVIAL_2023[[#This Row],[INSTITUCIÓN O EMPRESA]],LISTAS!$J$1:$M$85,3,0)</f>
        <v>Zona 9</v>
      </c>
      <c r="V172" s="79" t="str">
        <f>VLOOKUP(EDUVIAL_2023[[#This Row],[INSTITUCIÓN O EMPRESA]],LISTAS!$J$1:$M$85,4,0)</f>
        <v>Centro</v>
      </c>
      <c r="W172" s="126" t="str">
        <f>VLOOKUP(EDUVIAL_2023[[#This Row],[INSTITUCIÓN O EMPRESA]],LISTAS!$J$1:$M$85,2,0)</f>
        <v>6.169773013301722, -75.58747462568526</v>
      </c>
      <c r="X172" s="114" t="b">
        <f>EXACT(EDUVIAL_2023[[#This Row],[TOTAL SEXO]],EDUVIAL_2023[[#This Row],[TOTAL RANGOS]])</f>
        <v>1</v>
      </c>
      <c r="Y172" s="106"/>
    </row>
    <row r="173" spans="1:25" ht="43.15">
      <c r="A173" s="128">
        <v>45875</v>
      </c>
      <c r="B173" s="108" t="s">
        <v>420</v>
      </c>
      <c r="C173" s="104" t="s">
        <v>176</v>
      </c>
      <c r="D173" s="104" t="s">
        <v>371</v>
      </c>
      <c r="E173" s="121" t="s">
        <v>51</v>
      </c>
      <c r="F173" s="104" t="s">
        <v>43</v>
      </c>
      <c r="G173" s="121" t="s">
        <v>433</v>
      </c>
      <c r="H173" s="121" t="s">
        <v>340</v>
      </c>
      <c r="I173" s="104" t="s">
        <v>434</v>
      </c>
      <c r="J173" s="125">
        <v>9</v>
      </c>
      <c r="K173" s="125">
        <v>9</v>
      </c>
      <c r="L173" s="112">
        <f>EDUVIAL_2023[[#This Row],[HOMBRE]]+EDUVIAL_2023[[#This Row],[MUJER]]</f>
        <v>18</v>
      </c>
      <c r="M173" s="249">
        <v>17</v>
      </c>
      <c r="N173" s="106">
        <v>0</v>
      </c>
      <c r="O173" s="106">
        <v>0</v>
      </c>
      <c r="P173" s="106">
        <v>0</v>
      </c>
      <c r="Q173" s="106">
        <v>1</v>
      </c>
      <c r="R173" s="106">
        <v>0</v>
      </c>
      <c r="S173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18</v>
      </c>
      <c r="T173" s="120">
        <f>EDUVIAL_2023[[#This Row],[TOTAL SEXO]]</f>
        <v>18</v>
      </c>
      <c r="U173" s="106" t="str">
        <f>VLOOKUP(EDUVIAL_2023[[#This Row],[INSTITUCIÓN O EMPRESA]],LISTAS!$J$1:$M$85,3,0)</f>
        <v>Zona 9</v>
      </c>
      <c r="V173" s="106" t="str">
        <f>VLOOKUP(EDUVIAL_2023[[#This Row],[INSTITUCIÓN O EMPRESA]],LISTAS!$J$1:$M$85,4,0)</f>
        <v>Centro</v>
      </c>
      <c r="W173" s="125" t="str">
        <f>VLOOKUP(EDUVIAL_2023[[#This Row],[INSTITUCIÓN O EMPRESA]],LISTAS!$J$1:$M$85,2,0)</f>
        <v>6.168450558868997, -75.5896412723252</v>
      </c>
      <c r="X173" s="114" t="b">
        <f>EXACT(EDUVIAL_2023[[#This Row],[TOTAL SEXO]],EDUVIAL_2023[[#This Row],[TOTAL RANGOS]])</f>
        <v>1</v>
      </c>
      <c r="Y173" s="106"/>
    </row>
    <row r="174" spans="1:25" ht="28.9">
      <c r="A174" s="128">
        <v>45875</v>
      </c>
      <c r="B174" s="108" t="s">
        <v>420</v>
      </c>
      <c r="C174" s="104" t="s">
        <v>49</v>
      </c>
      <c r="D174" s="104" t="s">
        <v>89</v>
      </c>
      <c r="E174" s="121" t="s">
        <v>51</v>
      </c>
      <c r="F174" s="104" t="s">
        <v>79</v>
      </c>
      <c r="G174" s="121" t="s">
        <v>435</v>
      </c>
      <c r="H174" s="14" t="s">
        <v>436</v>
      </c>
      <c r="I174" s="104" t="s">
        <v>437</v>
      </c>
      <c r="J174" s="125">
        <v>33</v>
      </c>
      <c r="K174" s="125">
        <v>1</v>
      </c>
      <c r="L174" s="112">
        <f>EDUVIAL_2023[[#This Row],[HOMBRE]]+EDUVIAL_2023[[#This Row],[MUJER]]</f>
        <v>34</v>
      </c>
      <c r="M174" s="249">
        <v>0</v>
      </c>
      <c r="N174" s="106">
        <v>0</v>
      </c>
      <c r="O174" s="106">
        <v>0</v>
      </c>
      <c r="P174" s="106">
        <v>8</v>
      </c>
      <c r="Q174" s="106">
        <v>26</v>
      </c>
      <c r="R174" s="106">
        <v>0</v>
      </c>
      <c r="S17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34</v>
      </c>
      <c r="T174" s="120">
        <f>EDUVIAL_2023[[#This Row],[TOTAL SEXO]]</f>
        <v>34</v>
      </c>
      <c r="U174" s="106" t="s">
        <v>64</v>
      </c>
      <c r="V174" s="79" t="s">
        <v>65</v>
      </c>
      <c r="W174" s="125" t="s">
        <v>438</v>
      </c>
      <c r="X174" s="114" t="b">
        <f>EXACT(EDUVIAL_2023[[#This Row],[TOTAL SEXO]],EDUVIAL_2023[[#This Row],[TOTAL RANGOS]])</f>
        <v>1</v>
      </c>
      <c r="Y174" s="106"/>
    </row>
    <row r="175" spans="1:25">
      <c r="A175" s="128">
        <v>45875</v>
      </c>
      <c r="B175" s="108" t="s">
        <v>420</v>
      </c>
      <c r="C175" s="104" t="s">
        <v>36</v>
      </c>
      <c r="D175" s="104" t="s">
        <v>37</v>
      </c>
      <c r="E175" s="121" t="s">
        <v>38</v>
      </c>
      <c r="F175" s="104" t="s">
        <v>43</v>
      </c>
      <c r="G175" s="121" t="s">
        <v>439</v>
      </c>
      <c r="H175" s="121" t="s">
        <v>340</v>
      </c>
      <c r="I175" s="104" t="s">
        <v>440</v>
      </c>
      <c r="J175" s="125">
        <v>0</v>
      </c>
      <c r="K175" s="125">
        <v>1</v>
      </c>
      <c r="L175" s="112">
        <f>EDUVIAL_2023[[#This Row],[HOMBRE]]+EDUVIAL_2023[[#This Row],[MUJER]]</f>
        <v>1</v>
      </c>
      <c r="M175" s="249">
        <v>0</v>
      </c>
      <c r="N175" s="106">
        <v>0</v>
      </c>
      <c r="O175" s="106">
        <v>0</v>
      </c>
      <c r="P175" s="106">
        <v>1</v>
      </c>
      <c r="Q175" s="106">
        <v>0</v>
      </c>
      <c r="R175" s="106">
        <v>0</v>
      </c>
      <c r="S17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175" s="120">
        <f>EDUVIAL_2023[[#This Row],[TOTAL SEXO]]</f>
        <v>1</v>
      </c>
      <c r="U175" s="106" t="str">
        <f>VLOOKUP(EDUVIAL_2023[[#This Row],[INSTITUCIÓN O EMPRESA]],LISTAS!$J$1:$M$85,3,0)</f>
        <v>Zona 9</v>
      </c>
      <c r="V175" s="106" t="str">
        <f>VLOOKUP(EDUVIAL_2023[[#This Row],[INSTITUCIÓN O EMPRESA]],LISTAS!$J$1:$M$85,4,0)</f>
        <v>Centro</v>
      </c>
      <c r="W175" s="125" t="str">
        <f>VLOOKUP(EDUVIAL_2023[[#This Row],[INSTITUCIÓN O EMPRESA]],LISTAS!$J$1:$M$85,2,0)</f>
        <v>6.168450558868997, -75.5896412723252</v>
      </c>
      <c r="X175" s="114" t="b">
        <f>EXACT(EDUVIAL_2023[[#This Row],[TOTAL SEXO]],EDUVIAL_2023[[#This Row],[TOTAL RANGOS]])</f>
        <v>1</v>
      </c>
      <c r="Y175" s="106"/>
    </row>
    <row r="176" spans="1:25">
      <c r="A176" s="128">
        <v>45875</v>
      </c>
      <c r="B176" s="108" t="s">
        <v>420</v>
      </c>
      <c r="C176" s="104" t="s">
        <v>36</v>
      </c>
      <c r="D176" s="104" t="s">
        <v>37</v>
      </c>
      <c r="E176" s="121" t="s">
        <v>38</v>
      </c>
      <c r="F176" s="104" t="s">
        <v>43</v>
      </c>
      <c r="G176" s="121" t="s">
        <v>441</v>
      </c>
      <c r="H176" s="121" t="s">
        <v>340</v>
      </c>
      <c r="I176" s="104" t="s">
        <v>442</v>
      </c>
      <c r="J176" s="125">
        <v>1</v>
      </c>
      <c r="K176" s="125">
        <v>0</v>
      </c>
      <c r="L176" s="112">
        <f>EDUVIAL_2023[[#This Row],[HOMBRE]]+EDUVIAL_2023[[#This Row],[MUJER]]</f>
        <v>1</v>
      </c>
      <c r="M176" s="249">
        <v>0</v>
      </c>
      <c r="N176" s="106">
        <v>0</v>
      </c>
      <c r="O176" s="106">
        <v>0</v>
      </c>
      <c r="P176" s="106">
        <v>1</v>
      </c>
      <c r="Q176" s="106">
        <v>0</v>
      </c>
      <c r="R176" s="106">
        <v>0</v>
      </c>
      <c r="S17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176" s="120">
        <f>EDUVIAL_2023[[#This Row],[TOTAL SEXO]]</f>
        <v>1</v>
      </c>
      <c r="U176" s="106" t="str">
        <f>VLOOKUP(EDUVIAL_2023[[#This Row],[INSTITUCIÓN O EMPRESA]],LISTAS!$J$1:$M$85,3,0)</f>
        <v>Zona 9</v>
      </c>
      <c r="V176" s="106" t="str">
        <f>VLOOKUP(EDUVIAL_2023[[#This Row],[INSTITUCIÓN O EMPRESA]],LISTAS!$J$1:$M$85,4,0)</f>
        <v>Centro</v>
      </c>
      <c r="W176" s="125" t="str">
        <f>VLOOKUP(EDUVIAL_2023[[#This Row],[INSTITUCIÓN O EMPRESA]],LISTAS!$J$1:$M$85,2,0)</f>
        <v>6.168450558868997, -75.5896412723252</v>
      </c>
      <c r="X176" s="114" t="b">
        <f>EXACT(EDUVIAL_2023[[#This Row],[TOTAL SEXO]],EDUVIAL_2023[[#This Row],[TOTAL RANGOS]])</f>
        <v>1</v>
      </c>
      <c r="Y176" s="106"/>
    </row>
    <row r="177" spans="1:25" ht="43.15">
      <c r="A177" s="128">
        <v>45877</v>
      </c>
      <c r="B177" s="108" t="s">
        <v>420</v>
      </c>
      <c r="C177" s="104" t="s">
        <v>176</v>
      </c>
      <c r="D177" s="104" t="s">
        <v>371</v>
      </c>
      <c r="E177" s="121" t="s">
        <v>51</v>
      </c>
      <c r="F177" s="104" t="s">
        <v>43</v>
      </c>
      <c r="G177" s="121" t="s">
        <v>443</v>
      </c>
      <c r="H177" s="121" t="s">
        <v>340</v>
      </c>
      <c r="I177" s="104" t="s">
        <v>434</v>
      </c>
      <c r="J177" s="125">
        <v>9</v>
      </c>
      <c r="K177" s="125">
        <v>5</v>
      </c>
      <c r="L177" s="112">
        <f>EDUVIAL_2023[[#This Row],[HOMBRE]]+EDUVIAL_2023[[#This Row],[MUJER]]</f>
        <v>14</v>
      </c>
      <c r="M177" s="249">
        <v>13</v>
      </c>
      <c r="N177" s="106">
        <v>0</v>
      </c>
      <c r="O177" s="106">
        <v>0</v>
      </c>
      <c r="P177" s="106">
        <v>0</v>
      </c>
      <c r="Q177" s="106">
        <v>1</v>
      </c>
      <c r="R177" s="106">
        <v>0</v>
      </c>
      <c r="S17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14</v>
      </c>
      <c r="T177" s="120">
        <f>EDUVIAL_2023[[#This Row],[TOTAL SEXO]]</f>
        <v>14</v>
      </c>
      <c r="U177" s="106" t="str">
        <f>VLOOKUP(EDUVIAL_2023[[#This Row],[INSTITUCIÓN O EMPRESA]],LISTAS!$J$1:$M$85,3,0)</f>
        <v>Zona 9</v>
      </c>
      <c r="V177" s="106" t="str">
        <f>VLOOKUP(EDUVIAL_2023[[#This Row],[INSTITUCIÓN O EMPRESA]],LISTAS!$J$1:$M$85,4,0)</f>
        <v>Centro</v>
      </c>
      <c r="W177" s="125" t="str">
        <f>VLOOKUP(EDUVIAL_2023[[#This Row],[INSTITUCIÓN O EMPRESA]],LISTAS!$J$1:$M$85,2,0)</f>
        <v>6.168450558868997, -75.5896412723252</v>
      </c>
      <c r="X177" s="114" t="b">
        <f>EXACT(EDUVIAL_2023[[#This Row],[TOTAL SEXO]],EDUVIAL_2023[[#This Row],[TOTAL RANGOS]])</f>
        <v>1</v>
      </c>
      <c r="Y177" s="106"/>
    </row>
    <row r="178" spans="1:25" ht="28.9">
      <c r="A178" s="136">
        <v>45877</v>
      </c>
      <c r="B178" s="108" t="s">
        <v>420</v>
      </c>
      <c r="C178" s="104" t="s">
        <v>49</v>
      </c>
      <c r="D178" s="104" t="s">
        <v>89</v>
      </c>
      <c r="E178" s="121" t="s">
        <v>51</v>
      </c>
      <c r="F178" s="104" t="s">
        <v>79</v>
      </c>
      <c r="G178" s="121" t="s">
        <v>444</v>
      </c>
      <c r="H178" s="14" t="s">
        <v>445</v>
      </c>
      <c r="I178" s="104" t="s">
        <v>397</v>
      </c>
      <c r="J178" s="125">
        <v>4</v>
      </c>
      <c r="K178" s="125">
        <v>12</v>
      </c>
      <c r="L178" s="112">
        <f>EDUVIAL_2023[[#This Row],[HOMBRE]]+EDUVIAL_2023[[#This Row],[MUJER]]</f>
        <v>16</v>
      </c>
      <c r="M178" s="249">
        <v>0</v>
      </c>
      <c r="N178" s="106">
        <v>0</v>
      </c>
      <c r="O178" s="106">
        <v>0</v>
      </c>
      <c r="P178" s="106">
        <v>5</v>
      </c>
      <c r="Q178" s="106">
        <v>9</v>
      </c>
      <c r="R178" s="106">
        <v>2</v>
      </c>
      <c r="S178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16</v>
      </c>
      <c r="T178" s="120">
        <f>EDUVIAL_2023[[#This Row],[TOTAL SEXO]]</f>
        <v>16</v>
      </c>
      <c r="U178" s="116" t="s">
        <v>55</v>
      </c>
      <c r="V178" s="116" t="s">
        <v>56</v>
      </c>
      <c r="W178" s="207" t="s">
        <v>446</v>
      </c>
      <c r="X178" s="114" t="b">
        <f>EXACT(EDUVIAL_2023[[#This Row],[TOTAL SEXO]],EDUVIAL_2023[[#This Row],[TOTAL RANGOS]])</f>
        <v>1</v>
      </c>
      <c r="Y178" s="106"/>
    </row>
    <row r="179" spans="1:25" ht="28.9">
      <c r="A179" s="128">
        <v>45880</v>
      </c>
      <c r="B179" s="108" t="s">
        <v>420</v>
      </c>
      <c r="C179" s="104" t="s">
        <v>49</v>
      </c>
      <c r="D179" s="104" t="s">
        <v>89</v>
      </c>
      <c r="E179" s="121" t="s">
        <v>51</v>
      </c>
      <c r="F179" s="104" t="s">
        <v>346</v>
      </c>
      <c r="G179" s="121" t="s">
        <v>447</v>
      </c>
      <c r="H179" s="121" t="s">
        <v>357</v>
      </c>
      <c r="I179" s="104" t="s">
        <v>432</v>
      </c>
      <c r="J179" s="125">
        <v>8</v>
      </c>
      <c r="K179" s="125">
        <v>10</v>
      </c>
      <c r="L179" s="112">
        <f>EDUVIAL_2023[[#This Row],[HOMBRE]]+EDUVIAL_2023[[#This Row],[MUJER]]</f>
        <v>18</v>
      </c>
      <c r="M179" s="249">
        <v>0</v>
      </c>
      <c r="N179" s="106">
        <v>0</v>
      </c>
      <c r="O179" s="106">
        <v>0</v>
      </c>
      <c r="P179" s="106">
        <v>2</v>
      </c>
      <c r="Q179" s="106">
        <v>16</v>
      </c>
      <c r="R179" s="106">
        <v>0</v>
      </c>
      <c r="S179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18</v>
      </c>
      <c r="T179" s="120">
        <f>EDUVIAL_2023[[#This Row],[TOTAL SEXO]]</f>
        <v>18</v>
      </c>
      <c r="U179" s="106" t="str">
        <f>VLOOKUP(EDUVIAL_2023[[#This Row],[INSTITUCIÓN O EMPRESA]],LISTAS!$J$1:$M$85,3,0)</f>
        <v>Zona 9</v>
      </c>
      <c r="V179" s="106" t="str">
        <f>VLOOKUP(EDUVIAL_2023[[#This Row],[INSTITUCIÓN O EMPRESA]],LISTAS!$J$1:$M$85,4,0)</f>
        <v>Centro</v>
      </c>
      <c r="W179" s="19" t="s">
        <v>35</v>
      </c>
      <c r="X179" s="114" t="b">
        <f>EXACT(EDUVIAL_2023[[#This Row],[TOTAL SEXO]],EDUVIAL_2023[[#This Row],[TOTAL RANGOS]])</f>
        <v>1</v>
      </c>
      <c r="Y179" s="106"/>
    </row>
    <row r="180" spans="1:25" ht="28.9">
      <c r="A180" s="128">
        <v>45881</v>
      </c>
      <c r="B180" s="108" t="s">
        <v>420</v>
      </c>
      <c r="C180" s="104" t="s">
        <v>176</v>
      </c>
      <c r="D180" s="104" t="s">
        <v>226</v>
      </c>
      <c r="E180" s="121" t="s">
        <v>51</v>
      </c>
      <c r="F180" s="104" t="s">
        <v>43</v>
      </c>
      <c r="G180" s="121" t="s">
        <v>448</v>
      </c>
      <c r="H180" s="121" t="s">
        <v>340</v>
      </c>
      <c r="I180" s="104" t="s">
        <v>434</v>
      </c>
      <c r="J180" s="125">
        <v>15</v>
      </c>
      <c r="K180" s="125">
        <v>14</v>
      </c>
      <c r="L180" s="112">
        <f>EDUVIAL_2023[[#This Row],[HOMBRE]]+EDUVIAL_2023[[#This Row],[MUJER]]</f>
        <v>29</v>
      </c>
      <c r="M180" s="249">
        <v>0</v>
      </c>
      <c r="N180" s="106">
        <v>28</v>
      </c>
      <c r="O180" s="106">
        <v>0</v>
      </c>
      <c r="P180" s="106">
        <v>0</v>
      </c>
      <c r="Q180" s="106">
        <v>1</v>
      </c>
      <c r="R180" s="106">
        <v>0</v>
      </c>
      <c r="S180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29</v>
      </c>
      <c r="T180" s="120">
        <f>EDUVIAL_2023[[#This Row],[TOTAL SEXO]]</f>
        <v>29</v>
      </c>
      <c r="U180" s="106" t="str">
        <f>VLOOKUP(EDUVIAL_2023[[#This Row],[INSTITUCIÓN O EMPRESA]],LISTAS!$J$1:$M$85,3,0)</f>
        <v>Zona 9</v>
      </c>
      <c r="V180" s="106" t="str">
        <f>VLOOKUP(EDUVIAL_2023[[#This Row],[INSTITUCIÓN O EMPRESA]],LISTAS!$J$1:$M$85,4,0)</f>
        <v>Centro</v>
      </c>
      <c r="W180" s="125" t="str">
        <f>VLOOKUP(EDUVIAL_2023[[#This Row],[INSTITUCIÓN O EMPRESA]],LISTAS!$J$1:$M$85,2,0)</f>
        <v>6.168450558868997, -75.5896412723252</v>
      </c>
      <c r="X180" s="114" t="b">
        <f>EXACT(EDUVIAL_2023[[#This Row],[TOTAL SEXO]],EDUVIAL_2023[[#This Row],[TOTAL RANGOS]])</f>
        <v>1</v>
      </c>
      <c r="Y180" s="106"/>
    </row>
    <row r="181" spans="1:25" ht="28.9">
      <c r="A181" s="128">
        <v>45881</v>
      </c>
      <c r="B181" s="108" t="s">
        <v>420</v>
      </c>
      <c r="C181" s="104" t="s">
        <v>176</v>
      </c>
      <c r="D181" s="104" t="s">
        <v>226</v>
      </c>
      <c r="E181" s="121" t="s">
        <v>51</v>
      </c>
      <c r="F181" s="104" t="s">
        <v>43</v>
      </c>
      <c r="G181" s="121" t="s">
        <v>449</v>
      </c>
      <c r="H181" s="121" t="s">
        <v>340</v>
      </c>
      <c r="I181" s="104" t="s">
        <v>434</v>
      </c>
      <c r="J181" s="125">
        <v>11</v>
      </c>
      <c r="K181" s="125">
        <v>17</v>
      </c>
      <c r="L181" s="112">
        <f>EDUVIAL_2023[[#This Row],[HOMBRE]]+EDUVIAL_2023[[#This Row],[MUJER]]</f>
        <v>28</v>
      </c>
      <c r="M181" s="249">
        <v>0</v>
      </c>
      <c r="N181" s="106">
        <v>27</v>
      </c>
      <c r="O181" s="106">
        <v>0</v>
      </c>
      <c r="P181" s="106">
        <v>0</v>
      </c>
      <c r="Q181" s="106">
        <v>1</v>
      </c>
      <c r="R181" s="106">
        <v>0</v>
      </c>
      <c r="S181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28</v>
      </c>
      <c r="T181" s="120">
        <f>EDUVIAL_2023[[#This Row],[TOTAL SEXO]]</f>
        <v>28</v>
      </c>
      <c r="U181" s="106" t="str">
        <f>VLOOKUP(EDUVIAL_2023[[#This Row],[INSTITUCIÓN O EMPRESA]],LISTAS!$J$1:$M$85,3,0)</f>
        <v>Zona 9</v>
      </c>
      <c r="V181" s="106" t="str">
        <f>VLOOKUP(EDUVIAL_2023[[#This Row],[INSTITUCIÓN O EMPRESA]],LISTAS!$J$1:$M$85,4,0)</f>
        <v>Centro</v>
      </c>
      <c r="W181" s="125" t="str">
        <f>VLOOKUP(EDUVIAL_2023[[#This Row],[INSTITUCIÓN O EMPRESA]],LISTAS!$J$1:$M$85,2,0)</f>
        <v>6.168450558868997, -75.5896412723252</v>
      </c>
      <c r="X181" s="114" t="b">
        <f>EXACT(EDUVIAL_2023[[#This Row],[TOTAL SEXO]],EDUVIAL_2023[[#This Row],[TOTAL RANGOS]])</f>
        <v>1</v>
      </c>
      <c r="Y181" s="106"/>
    </row>
    <row r="182" spans="1:25" ht="28.9">
      <c r="A182" s="128">
        <v>45881</v>
      </c>
      <c r="B182" s="108" t="s">
        <v>420</v>
      </c>
      <c r="C182" s="104" t="s">
        <v>49</v>
      </c>
      <c r="D182" s="104" t="s">
        <v>89</v>
      </c>
      <c r="E182" s="121" t="s">
        <v>51</v>
      </c>
      <c r="F182" s="104" t="s">
        <v>79</v>
      </c>
      <c r="G182" s="121" t="s">
        <v>435</v>
      </c>
      <c r="H182" s="14" t="s">
        <v>436</v>
      </c>
      <c r="I182" s="104" t="s">
        <v>437</v>
      </c>
      <c r="J182" s="125">
        <v>9</v>
      </c>
      <c r="K182" s="125">
        <v>3</v>
      </c>
      <c r="L182" s="112">
        <f>EDUVIAL_2023[[#This Row],[HOMBRE]]+EDUVIAL_2023[[#This Row],[MUJER]]</f>
        <v>12</v>
      </c>
      <c r="M182" s="249">
        <v>0</v>
      </c>
      <c r="N182" s="106">
        <v>0</v>
      </c>
      <c r="O182" s="106">
        <v>0</v>
      </c>
      <c r="P182" s="106">
        <v>3</v>
      </c>
      <c r="Q182" s="106">
        <v>9</v>
      </c>
      <c r="R182" s="106">
        <v>0</v>
      </c>
      <c r="S182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12</v>
      </c>
      <c r="T182" s="120">
        <f>EDUVIAL_2023[[#This Row],[TOTAL SEXO]]</f>
        <v>12</v>
      </c>
      <c r="U182" s="106" t="s">
        <v>64</v>
      </c>
      <c r="V182" s="79" t="s">
        <v>65</v>
      </c>
      <c r="W182" s="125" t="s">
        <v>438</v>
      </c>
      <c r="X182" s="114" t="b">
        <f>EXACT(EDUVIAL_2023[[#This Row],[TOTAL SEXO]],EDUVIAL_2023[[#This Row],[TOTAL RANGOS]])</f>
        <v>1</v>
      </c>
      <c r="Y182" s="106"/>
    </row>
    <row r="183" spans="1:25" ht="43.15">
      <c r="A183" s="128">
        <v>45882</v>
      </c>
      <c r="B183" s="108" t="s">
        <v>420</v>
      </c>
      <c r="C183" s="104" t="s">
        <v>176</v>
      </c>
      <c r="D183" s="104" t="s">
        <v>239</v>
      </c>
      <c r="E183" s="121" t="s">
        <v>51</v>
      </c>
      <c r="F183" s="104" t="s">
        <v>43</v>
      </c>
      <c r="G183" s="121" t="s">
        <v>450</v>
      </c>
      <c r="H183" s="121" t="s">
        <v>340</v>
      </c>
      <c r="I183" s="104" t="s">
        <v>434</v>
      </c>
      <c r="J183" s="125">
        <v>4</v>
      </c>
      <c r="K183" s="125">
        <v>9</v>
      </c>
      <c r="L183" s="112">
        <f>EDUVIAL_2023[[#This Row],[HOMBRE]]+EDUVIAL_2023[[#This Row],[MUJER]]</f>
        <v>13</v>
      </c>
      <c r="M183" s="249">
        <v>12</v>
      </c>
      <c r="N183" s="106">
        <v>0</v>
      </c>
      <c r="O183" s="106">
        <v>0</v>
      </c>
      <c r="P183" s="106">
        <v>0</v>
      </c>
      <c r="Q183" s="106">
        <v>1</v>
      </c>
      <c r="R183" s="106">
        <v>0</v>
      </c>
      <c r="S183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13</v>
      </c>
      <c r="T183" s="120">
        <f>EDUVIAL_2023[[#This Row],[TOTAL SEXO]]</f>
        <v>13</v>
      </c>
      <c r="U183" s="106" t="str">
        <f>VLOOKUP(EDUVIAL_2023[[#This Row],[INSTITUCIÓN O EMPRESA]],LISTAS!$J$1:$M$85,3,0)</f>
        <v>Zona 9</v>
      </c>
      <c r="V183" s="106" t="str">
        <f>VLOOKUP(EDUVIAL_2023[[#This Row],[INSTITUCIÓN O EMPRESA]],LISTAS!$J$1:$M$85,4,0)</f>
        <v>Centro</v>
      </c>
      <c r="W183" s="125" t="str">
        <f>VLOOKUP(EDUVIAL_2023[[#This Row],[INSTITUCIÓN O EMPRESA]],LISTAS!$J$1:$M$85,2,0)</f>
        <v>6.168450558868997, -75.5896412723252</v>
      </c>
      <c r="X183" s="114" t="b">
        <f>EXACT(EDUVIAL_2023[[#This Row],[TOTAL SEXO]],EDUVIAL_2023[[#This Row],[TOTAL RANGOS]])</f>
        <v>1</v>
      </c>
      <c r="Y183" s="106"/>
    </row>
    <row r="184" spans="1:25" ht="43.15">
      <c r="A184" s="128">
        <v>45882</v>
      </c>
      <c r="B184" s="108" t="s">
        <v>420</v>
      </c>
      <c r="C184" s="104" t="s">
        <v>176</v>
      </c>
      <c r="D184" s="104" t="s">
        <v>239</v>
      </c>
      <c r="E184" s="121" t="s">
        <v>51</v>
      </c>
      <c r="F184" s="104" t="s">
        <v>43</v>
      </c>
      <c r="G184" s="121" t="s">
        <v>451</v>
      </c>
      <c r="H184" s="121" t="s">
        <v>340</v>
      </c>
      <c r="I184" s="104" t="s">
        <v>434</v>
      </c>
      <c r="J184" s="125">
        <v>3</v>
      </c>
      <c r="K184" s="125">
        <v>8</v>
      </c>
      <c r="L184" s="112">
        <f>EDUVIAL_2023[[#This Row],[HOMBRE]]+EDUVIAL_2023[[#This Row],[MUJER]]</f>
        <v>11</v>
      </c>
      <c r="M184" s="249">
        <v>10</v>
      </c>
      <c r="N184" s="106">
        <v>0</v>
      </c>
      <c r="O184" s="106">
        <v>0</v>
      </c>
      <c r="P184" s="106">
        <v>0</v>
      </c>
      <c r="Q184" s="106">
        <v>1</v>
      </c>
      <c r="R184" s="106">
        <v>0</v>
      </c>
      <c r="S18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11</v>
      </c>
      <c r="T184" s="120">
        <f>EDUVIAL_2023[[#This Row],[TOTAL SEXO]]</f>
        <v>11</v>
      </c>
      <c r="U184" s="106" t="str">
        <f>VLOOKUP(EDUVIAL_2023[[#This Row],[INSTITUCIÓN O EMPRESA]],LISTAS!$J$1:$M$85,3,0)</f>
        <v>Zona 9</v>
      </c>
      <c r="V184" s="106" t="str">
        <f>VLOOKUP(EDUVIAL_2023[[#This Row],[INSTITUCIÓN O EMPRESA]],LISTAS!$J$1:$M$85,4,0)</f>
        <v>Centro</v>
      </c>
      <c r="W184" s="125" t="str">
        <f>VLOOKUP(EDUVIAL_2023[[#This Row],[INSTITUCIÓN O EMPRESA]],LISTAS!$J$1:$M$85,2,0)</f>
        <v>6.168450558868997, -75.5896412723252</v>
      </c>
      <c r="X184" s="114" t="b">
        <f>EXACT(EDUVIAL_2023[[#This Row],[TOTAL SEXO]],EDUVIAL_2023[[#This Row],[TOTAL RANGOS]])</f>
        <v>1</v>
      </c>
      <c r="Y184" s="106"/>
    </row>
    <row r="185" spans="1:25" ht="28.9">
      <c r="A185" s="128">
        <v>45882</v>
      </c>
      <c r="B185" s="108" t="s">
        <v>420</v>
      </c>
      <c r="C185" s="104" t="s">
        <v>176</v>
      </c>
      <c r="D185" s="104" t="s">
        <v>239</v>
      </c>
      <c r="E185" s="121" t="s">
        <v>51</v>
      </c>
      <c r="F185" s="104" t="s">
        <v>43</v>
      </c>
      <c r="G185" s="121" t="s">
        <v>452</v>
      </c>
      <c r="H185" s="121" t="s">
        <v>340</v>
      </c>
      <c r="I185" s="104" t="s">
        <v>434</v>
      </c>
      <c r="J185" s="125">
        <v>4</v>
      </c>
      <c r="K185" s="125">
        <v>5</v>
      </c>
      <c r="L185" s="112">
        <f>EDUVIAL_2023[[#This Row],[HOMBRE]]+EDUVIAL_2023[[#This Row],[MUJER]]</f>
        <v>9</v>
      </c>
      <c r="M185" s="249">
        <v>7</v>
      </c>
      <c r="N185" s="106">
        <v>0</v>
      </c>
      <c r="O185" s="106">
        <v>0</v>
      </c>
      <c r="P185" s="106">
        <v>0</v>
      </c>
      <c r="Q185" s="106">
        <v>2</v>
      </c>
      <c r="R185" s="106">
        <v>0</v>
      </c>
      <c r="S18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9</v>
      </c>
      <c r="T185" s="120">
        <f>EDUVIAL_2023[[#This Row],[TOTAL SEXO]]</f>
        <v>9</v>
      </c>
      <c r="U185" s="106" t="str">
        <f>VLOOKUP(EDUVIAL_2023[[#This Row],[INSTITUCIÓN O EMPRESA]],LISTAS!$J$1:$M$85,3,0)</f>
        <v>Zona 9</v>
      </c>
      <c r="V185" s="106" t="str">
        <f>VLOOKUP(EDUVIAL_2023[[#This Row],[INSTITUCIÓN O EMPRESA]],LISTAS!$J$1:$M$85,4,0)</f>
        <v>Centro</v>
      </c>
      <c r="W185" s="125" t="str">
        <f>VLOOKUP(EDUVIAL_2023[[#This Row],[INSTITUCIÓN O EMPRESA]],LISTAS!$J$1:$M$85,2,0)</f>
        <v>6.168450558868997, -75.5896412723252</v>
      </c>
      <c r="X185" s="114" t="b">
        <f>EXACT(EDUVIAL_2023[[#This Row],[TOTAL SEXO]],EDUVIAL_2023[[#This Row],[TOTAL RANGOS]])</f>
        <v>1</v>
      </c>
      <c r="Y185" s="106"/>
    </row>
    <row r="186" spans="1:25" ht="28.9">
      <c r="A186" s="128">
        <v>45882</v>
      </c>
      <c r="B186" s="108" t="s">
        <v>420</v>
      </c>
      <c r="C186" s="104" t="s">
        <v>49</v>
      </c>
      <c r="D186" s="104" t="s">
        <v>89</v>
      </c>
      <c r="E186" s="121" t="s">
        <v>51</v>
      </c>
      <c r="F186" s="104" t="s">
        <v>346</v>
      </c>
      <c r="G186" s="121" t="s">
        <v>453</v>
      </c>
      <c r="H186" s="14" t="s">
        <v>454</v>
      </c>
      <c r="I186" s="104" t="s">
        <v>455</v>
      </c>
      <c r="J186" s="125">
        <v>14</v>
      </c>
      <c r="K186" s="125">
        <v>25</v>
      </c>
      <c r="L186" s="112">
        <f>EDUVIAL_2023[[#This Row],[HOMBRE]]+EDUVIAL_2023[[#This Row],[MUJER]]</f>
        <v>39</v>
      </c>
      <c r="M186" s="249">
        <v>0</v>
      </c>
      <c r="N186" s="106">
        <v>0</v>
      </c>
      <c r="O186" s="106">
        <v>0</v>
      </c>
      <c r="P186" s="106">
        <v>17</v>
      </c>
      <c r="Q186" s="106">
        <v>21</v>
      </c>
      <c r="R186" s="106">
        <v>1</v>
      </c>
      <c r="S18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39</v>
      </c>
      <c r="T186" s="120">
        <f>EDUVIAL_2023[[#This Row],[TOTAL SEXO]]</f>
        <v>39</v>
      </c>
      <c r="U186" s="106" t="s">
        <v>64</v>
      </c>
      <c r="V186" s="79" t="s">
        <v>65</v>
      </c>
      <c r="W186" s="125" t="s">
        <v>456</v>
      </c>
      <c r="X186" s="114" t="b">
        <f>EXACT(EDUVIAL_2023[[#This Row],[TOTAL SEXO]],EDUVIAL_2023[[#This Row],[TOTAL RANGOS]])</f>
        <v>1</v>
      </c>
      <c r="Y186" s="106"/>
    </row>
    <row r="187" spans="1:25" ht="43.15">
      <c r="A187" s="128">
        <v>45883</v>
      </c>
      <c r="B187" s="108" t="s">
        <v>420</v>
      </c>
      <c r="C187" s="104" t="s">
        <v>176</v>
      </c>
      <c r="D187" s="104" t="s">
        <v>226</v>
      </c>
      <c r="E187" s="121" t="s">
        <v>51</v>
      </c>
      <c r="F187" s="104" t="s">
        <v>43</v>
      </c>
      <c r="G187" s="121" t="s">
        <v>457</v>
      </c>
      <c r="H187" s="121" t="s">
        <v>340</v>
      </c>
      <c r="I187" s="104" t="s">
        <v>434</v>
      </c>
      <c r="J187" s="125">
        <v>38</v>
      </c>
      <c r="K187" s="125">
        <v>24</v>
      </c>
      <c r="L187" s="112">
        <f>EDUVIAL_2023[[#This Row],[HOMBRE]]+EDUVIAL_2023[[#This Row],[MUJER]]</f>
        <v>62</v>
      </c>
      <c r="M187" s="249">
        <v>0</v>
      </c>
      <c r="N187" s="106">
        <v>60</v>
      </c>
      <c r="O187" s="106">
        <v>0</v>
      </c>
      <c r="P187" s="106">
        <v>0</v>
      </c>
      <c r="Q187" s="106">
        <v>2</v>
      </c>
      <c r="R187" s="106">
        <v>0</v>
      </c>
      <c r="S18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62</v>
      </c>
      <c r="T187" s="120">
        <f>EDUVIAL_2023[[#This Row],[TOTAL SEXO]]</f>
        <v>62</v>
      </c>
      <c r="U187" s="106" t="str">
        <f>VLOOKUP(EDUVIAL_2023[[#This Row],[INSTITUCIÓN O EMPRESA]],LISTAS!$J$1:$M$85,3,0)</f>
        <v>Zona 9</v>
      </c>
      <c r="V187" s="106" t="str">
        <f>VLOOKUP(EDUVIAL_2023[[#This Row],[INSTITUCIÓN O EMPRESA]],LISTAS!$J$1:$M$85,4,0)</f>
        <v>Centro</v>
      </c>
      <c r="W187" s="125" t="str">
        <f>VLOOKUP(EDUVIAL_2023[[#This Row],[INSTITUCIÓN O EMPRESA]],LISTAS!$J$1:$M$85,2,0)</f>
        <v>6.168450558868997, -75.5896412723252</v>
      </c>
      <c r="X187" s="114" t="b">
        <f>EXACT(EDUVIAL_2023[[#This Row],[TOTAL SEXO]],EDUVIAL_2023[[#This Row],[TOTAL RANGOS]])</f>
        <v>1</v>
      </c>
      <c r="Y187" s="106"/>
    </row>
    <row r="188" spans="1:25" ht="43.15">
      <c r="A188" s="128">
        <v>45884</v>
      </c>
      <c r="B188" s="108" t="s">
        <v>420</v>
      </c>
      <c r="C188" s="104" t="s">
        <v>176</v>
      </c>
      <c r="D188" s="104" t="s">
        <v>226</v>
      </c>
      <c r="E188" s="121" t="s">
        <v>51</v>
      </c>
      <c r="F188" s="104" t="s">
        <v>43</v>
      </c>
      <c r="G188" s="121" t="s">
        <v>458</v>
      </c>
      <c r="H188" s="121" t="s">
        <v>340</v>
      </c>
      <c r="I188" s="104" t="s">
        <v>434</v>
      </c>
      <c r="J188" s="125">
        <v>11</v>
      </c>
      <c r="K188" s="125">
        <v>35</v>
      </c>
      <c r="L188" s="112">
        <f>EDUVIAL_2023[[#This Row],[HOMBRE]]+EDUVIAL_2023[[#This Row],[MUJER]]</f>
        <v>46</v>
      </c>
      <c r="M188" s="249">
        <v>0</v>
      </c>
      <c r="N188" s="106">
        <v>38</v>
      </c>
      <c r="O188" s="106">
        <v>0</v>
      </c>
      <c r="P188" s="106">
        <v>1</v>
      </c>
      <c r="Q188" s="106">
        <v>6</v>
      </c>
      <c r="R188" s="106">
        <v>1</v>
      </c>
      <c r="S188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46</v>
      </c>
      <c r="T188" s="120">
        <f>EDUVIAL_2023[[#This Row],[TOTAL SEXO]]</f>
        <v>46</v>
      </c>
      <c r="U188" s="106" t="str">
        <f>VLOOKUP(EDUVIAL_2023[[#This Row],[INSTITUCIÓN O EMPRESA]],LISTAS!$J$1:$M$85,3,0)</f>
        <v>Zona 9</v>
      </c>
      <c r="V188" s="106" t="str">
        <f>VLOOKUP(EDUVIAL_2023[[#This Row],[INSTITUCIÓN O EMPRESA]],LISTAS!$J$1:$M$85,4,0)</f>
        <v>Centro</v>
      </c>
      <c r="W188" s="125" t="str">
        <f>VLOOKUP(EDUVIAL_2023[[#This Row],[INSTITUCIÓN O EMPRESA]],LISTAS!$J$1:$M$85,2,0)</f>
        <v>6.168450558868997, -75.5896412723252</v>
      </c>
      <c r="X188" s="114" t="b">
        <f>EXACT(EDUVIAL_2023[[#This Row],[TOTAL SEXO]],EDUVIAL_2023[[#This Row],[TOTAL RANGOS]])</f>
        <v>1</v>
      </c>
      <c r="Y188" s="106"/>
    </row>
    <row r="189" spans="1:25" ht="28.9">
      <c r="A189" s="128">
        <v>45884</v>
      </c>
      <c r="B189" s="108" t="s">
        <v>420</v>
      </c>
      <c r="C189" s="104" t="s">
        <v>176</v>
      </c>
      <c r="D189" s="104" t="s">
        <v>89</v>
      </c>
      <c r="E189" s="121" t="s">
        <v>51</v>
      </c>
      <c r="F189" s="104" t="s">
        <v>29</v>
      </c>
      <c r="G189" s="121" t="s">
        <v>376</v>
      </c>
      <c r="H189" s="201" t="s">
        <v>340</v>
      </c>
      <c r="I189" s="104" t="s">
        <v>459</v>
      </c>
      <c r="J189" s="125">
        <v>1</v>
      </c>
      <c r="K189" s="125">
        <v>3</v>
      </c>
      <c r="L189" s="112">
        <f>EDUVIAL_2023[[#This Row],[HOMBRE]]+EDUVIAL_2023[[#This Row],[MUJER]]</f>
        <v>4</v>
      </c>
      <c r="M189" s="249">
        <v>0</v>
      </c>
      <c r="N189" s="106">
        <v>0</v>
      </c>
      <c r="O189" s="106">
        <v>0</v>
      </c>
      <c r="P189" s="106">
        <v>3</v>
      </c>
      <c r="Q189" s="106">
        <v>1</v>
      </c>
      <c r="R189" s="106">
        <v>0</v>
      </c>
      <c r="S189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4</v>
      </c>
      <c r="T189" s="120">
        <f>EDUVIAL_2023[[#This Row],[TOTAL SEXO]]</f>
        <v>4</v>
      </c>
      <c r="U189" s="106" t="str">
        <f>VLOOKUP(EDUVIAL_2023[[#This Row],[INSTITUCIÓN O EMPRESA]],LISTAS!$J$1:$M$85,3,0)</f>
        <v>Zona 9</v>
      </c>
      <c r="V189" s="106" t="str">
        <f>VLOOKUP(EDUVIAL_2023[[#This Row],[INSTITUCIÓN O EMPRESA]],LISTAS!$J$1:$M$85,4,0)</f>
        <v>Centro</v>
      </c>
      <c r="W189" s="125" t="str">
        <f>VLOOKUP(EDUVIAL_2023[[#This Row],[INSTITUCIÓN O EMPRESA]],LISTAS!$J$1:$M$85,2,0)</f>
        <v>6.168450558868997, -75.5896412723252</v>
      </c>
      <c r="X189" s="114" t="b">
        <f>EXACT(EDUVIAL_2023[[#This Row],[TOTAL SEXO]],EDUVIAL_2023[[#This Row],[TOTAL RANGOS]])</f>
        <v>1</v>
      </c>
      <c r="Y189" s="106"/>
    </row>
    <row r="190" spans="1:25" ht="28.9">
      <c r="A190" s="128">
        <v>45885</v>
      </c>
      <c r="B190" s="108" t="s">
        <v>420</v>
      </c>
      <c r="C190" s="104" t="s">
        <v>106</v>
      </c>
      <c r="D190" s="104" t="s">
        <v>460</v>
      </c>
      <c r="E190" s="121" t="s">
        <v>51</v>
      </c>
      <c r="F190" s="104" t="s">
        <v>346</v>
      </c>
      <c r="G190" s="121" t="s">
        <v>51</v>
      </c>
      <c r="H190" s="121" t="s">
        <v>340</v>
      </c>
      <c r="I190" s="104" t="s">
        <v>346</v>
      </c>
      <c r="J190" s="125">
        <v>7</v>
      </c>
      <c r="K190" s="125">
        <v>10</v>
      </c>
      <c r="L190" s="112">
        <f>EDUVIAL_2023[[#This Row],[HOMBRE]]+EDUVIAL_2023[[#This Row],[MUJER]]</f>
        <v>17</v>
      </c>
      <c r="M190" s="249">
        <v>2</v>
      </c>
      <c r="N190" s="106">
        <v>13</v>
      </c>
      <c r="O190" s="106">
        <v>0</v>
      </c>
      <c r="P190" s="106">
        <v>0</v>
      </c>
      <c r="Q190" s="106">
        <v>0</v>
      </c>
      <c r="R190" s="106">
        <v>2</v>
      </c>
      <c r="S190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17</v>
      </c>
      <c r="T190" s="120">
        <f>EDUVIAL_2023[[#This Row],[TOTAL SEXO]]</f>
        <v>17</v>
      </c>
      <c r="U190" s="106" t="str">
        <f>VLOOKUP(EDUVIAL_2023[[#This Row],[INSTITUCIÓN O EMPRESA]],LISTAS!$J$1:$M$85,3,0)</f>
        <v>Zona 9</v>
      </c>
      <c r="V190" s="106" t="str">
        <f>VLOOKUP(EDUVIAL_2023[[#This Row],[INSTITUCIÓN O EMPRESA]],LISTAS!$J$1:$M$85,4,0)</f>
        <v>Centro</v>
      </c>
      <c r="W190" s="125" t="str">
        <f>VLOOKUP(EDUVIAL_2023[[#This Row],[INSTITUCIÓN O EMPRESA]],LISTAS!$J$1:$M$85,2,0)</f>
        <v>6.168450558868997, -75.5896412723252</v>
      </c>
      <c r="X190" s="114" t="b">
        <f>EXACT(EDUVIAL_2023[[#This Row],[TOTAL SEXO]],EDUVIAL_2023[[#This Row],[TOTAL RANGOS]])</f>
        <v>1</v>
      </c>
      <c r="Y190" s="106"/>
    </row>
    <row r="191" spans="1:25" s="206" customFormat="1" ht="28.9">
      <c r="A191" s="198">
        <v>45889</v>
      </c>
      <c r="B191" s="199" t="s">
        <v>420</v>
      </c>
      <c r="C191" s="104" t="s">
        <v>176</v>
      </c>
      <c r="D191" s="200" t="s">
        <v>239</v>
      </c>
      <c r="E191" s="201" t="s">
        <v>51</v>
      </c>
      <c r="F191" s="200" t="s">
        <v>240</v>
      </c>
      <c r="G191" s="201" t="s">
        <v>461</v>
      </c>
      <c r="H191" s="201" t="s">
        <v>340</v>
      </c>
      <c r="I191" s="200" t="s">
        <v>462</v>
      </c>
      <c r="J191" s="202">
        <v>43</v>
      </c>
      <c r="K191" s="202">
        <v>38</v>
      </c>
      <c r="L191" s="112">
        <f>EDUVIAL_2023[[#This Row],[HOMBRE]]+EDUVIAL_2023[[#This Row],[MUJER]]</f>
        <v>81</v>
      </c>
      <c r="M191" s="253">
        <v>73</v>
      </c>
      <c r="N191" s="203">
        <v>0</v>
      </c>
      <c r="O191" s="203">
        <v>0</v>
      </c>
      <c r="P191" s="203">
        <v>1</v>
      </c>
      <c r="Q191" s="203">
        <v>7</v>
      </c>
      <c r="R191" s="203">
        <v>0</v>
      </c>
      <c r="S191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81</v>
      </c>
      <c r="T191" s="204">
        <f>EDUVIAL_2023[[#This Row],[TOTAL SEXO]]</f>
        <v>81</v>
      </c>
      <c r="U191" s="203" t="str">
        <f>VLOOKUP(EDUVIAL_2023[[#This Row],[INSTITUCIÓN O EMPRESA]],LISTAS!$J$1:$M$85,3,0)</f>
        <v>Zona 9</v>
      </c>
      <c r="V191" s="203" t="str">
        <f>VLOOKUP(EDUVIAL_2023[[#This Row],[INSTITUCIÓN O EMPRESA]],LISTAS!$J$1:$M$85,4,0)</f>
        <v>Centro</v>
      </c>
      <c r="W191" s="202" t="str">
        <f>VLOOKUP(EDUVIAL_2023[[#This Row],[INSTITUCIÓN O EMPRESA]],LISTAS!$J$1:$M$85,2,0)</f>
        <v>6.168450558868997, -75.5896412723252</v>
      </c>
      <c r="X191" s="205" t="b">
        <f>EXACT(EDUVIAL_2023[[#This Row],[TOTAL SEXO]],EDUVIAL_2023[[#This Row],[TOTAL RANGOS]])</f>
        <v>1</v>
      </c>
      <c r="Y191" s="203"/>
    </row>
    <row r="192" spans="1:25" ht="43.15">
      <c r="A192" s="128">
        <v>45889</v>
      </c>
      <c r="B192" s="108" t="s">
        <v>420</v>
      </c>
      <c r="C192" s="104" t="s">
        <v>67</v>
      </c>
      <c r="D192" s="104" t="s">
        <v>254</v>
      </c>
      <c r="E192" s="121" t="s">
        <v>51</v>
      </c>
      <c r="F192" s="104" t="s">
        <v>43</v>
      </c>
      <c r="G192" s="121" t="s">
        <v>463</v>
      </c>
      <c r="H192" s="121" t="s">
        <v>267</v>
      </c>
      <c r="I192" s="104" t="s">
        <v>434</v>
      </c>
      <c r="J192" s="125">
        <v>106</v>
      </c>
      <c r="K192" s="125">
        <v>96</v>
      </c>
      <c r="L192" s="112">
        <f>EDUVIAL_2023[[#This Row],[HOMBRE]]+EDUVIAL_2023[[#This Row],[MUJER]]</f>
        <v>202</v>
      </c>
      <c r="M192" s="249">
        <v>0</v>
      </c>
      <c r="N192" s="106">
        <v>0</v>
      </c>
      <c r="O192" s="106">
        <v>197</v>
      </c>
      <c r="P192" s="106">
        <v>0</v>
      </c>
      <c r="Q192" s="106">
        <v>5</v>
      </c>
      <c r="R192" s="106">
        <v>0</v>
      </c>
      <c r="S192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202</v>
      </c>
      <c r="T192" s="120">
        <f>EDUVIAL_2023[[#This Row],[TOTAL SEXO]]</f>
        <v>202</v>
      </c>
      <c r="U192" s="106" t="str">
        <f>VLOOKUP(EDUVIAL_2023[[#This Row],[INSTITUCIÓN O EMPRESA]],LISTAS!$J$1:$M$85,3,0)</f>
        <v>Zona 9</v>
      </c>
      <c r="V192" s="106" t="str">
        <f>VLOOKUP(EDUVIAL_2023[[#This Row],[INSTITUCIÓN O EMPRESA]],LISTAS!$J$1:$M$85,4,0)</f>
        <v>Barrio Obrero</v>
      </c>
      <c r="W192" s="125" t="str">
        <f>VLOOKUP(EDUVIAL_2023[[#This Row],[INSTITUCIÓN O EMPRESA]],LISTAS!$J$1:$M$85,2,0)</f>
        <v>6.172741, -75.581248</v>
      </c>
      <c r="X192" s="114" t="b">
        <f>EXACT(EDUVIAL_2023[[#This Row],[TOTAL SEXO]],EDUVIAL_2023[[#This Row],[TOTAL RANGOS]])</f>
        <v>1</v>
      </c>
      <c r="Y192" s="106"/>
    </row>
    <row r="193" spans="1:25" ht="43.15">
      <c r="A193" s="128">
        <v>45890</v>
      </c>
      <c r="B193" s="108" t="s">
        <v>420</v>
      </c>
      <c r="C193" s="104" t="s">
        <v>67</v>
      </c>
      <c r="D193" s="104" t="s">
        <v>254</v>
      </c>
      <c r="E193" s="121" t="s">
        <v>51</v>
      </c>
      <c r="F193" s="104" t="s">
        <v>43</v>
      </c>
      <c r="G193" s="121" t="s">
        <v>464</v>
      </c>
      <c r="H193" s="121" t="s">
        <v>267</v>
      </c>
      <c r="I193" s="104" t="s">
        <v>434</v>
      </c>
      <c r="J193" s="125">
        <v>97</v>
      </c>
      <c r="K193" s="125">
        <v>69</v>
      </c>
      <c r="L193" s="112">
        <f>EDUVIAL_2023[[#This Row],[HOMBRE]]+EDUVIAL_2023[[#This Row],[MUJER]]</f>
        <v>166</v>
      </c>
      <c r="M193" s="249">
        <v>0</v>
      </c>
      <c r="N193" s="106">
        <v>0</v>
      </c>
      <c r="O193" s="106">
        <v>161</v>
      </c>
      <c r="P193" s="106">
        <v>0</v>
      </c>
      <c r="Q193" s="106">
        <v>5</v>
      </c>
      <c r="R193" s="106">
        <v>0</v>
      </c>
      <c r="S193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166</v>
      </c>
      <c r="T193" s="120">
        <f>EDUVIAL_2023[[#This Row],[TOTAL SEXO]]</f>
        <v>166</v>
      </c>
      <c r="U193" s="106" t="str">
        <f>VLOOKUP(EDUVIAL_2023[[#This Row],[INSTITUCIÓN O EMPRESA]],LISTAS!$J$1:$M$85,3,0)</f>
        <v>Zona 9</v>
      </c>
      <c r="V193" s="106" t="str">
        <f>VLOOKUP(EDUVIAL_2023[[#This Row],[INSTITUCIÓN O EMPRESA]],LISTAS!$J$1:$M$85,4,0)</f>
        <v>Barrio Obrero</v>
      </c>
      <c r="W193" s="125" t="str">
        <f>VLOOKUP(EDUVIAL_2023[[#This Row],[INSTITUCIÓN O EMPRESA]],LISTAS!$J$1:$M$85,2,0)</f>
        <v>6.172741, -75.581248</v>
      </c>
      <c r="X193" s="114" t="b">
        <f>EXACT(EDUVIAL_2023[[#This Row],[TOTAL SEXO]],EDUVIAL_2023[[#This Row],[TOTAL RANGOS]])</f>
        <v>1</v>
      </c>
      <c r="Y193" s="106"/>
    </row>
    <row r="194" spans="1:25" ht="28.9">
      <c r="A194" s="128">
        <v>45890</v>
      </c>
      <c r="B194" s="108" t="s">
        <v>420</v>
      </c>
      <c r="C194" s="104" t="s">
        <v>176</v>
      </c>
      <c r="D194" s="104" t="s">
        <v>371</v>
      </c>
      <c r="E194" s="121" t="s">
        <v>51</v>
      </c>
      <c r="F194" s="104" t="s">
        <v>240</v>
      </c>
      <c r="G194" s="121" t="s">
        <v>465</v>
      </c>
      <c r="H194" s="121" t="s">
        <v>340</v>
      </c>
      <c r="I194" s="104" t="s">
        <v>466</v>
      </c>
      <c r="J194" s="125">
        <v>27</v>
      </c>
      <c r="K194" s="125">
        <v>32</v>
      </c>
      <c r="L194" s="112">
        <f>EDUVIAL_2023[[#This Row],[HOMBRE]]+EDUVIAL_2023[[#This Row],[MUJER]]</f>
        <v>59</v>
      </c>
      <c r="M194" s="249">
        <v>55</v>
      </c>
      <c r="N194" s="106">
        <v>0</v>
      </c>
      <c r="O194" s="106">
        <v>0</v>
      </c>
      <c r="P194" s="106">
        <v>0</v>
      </c>
      <c r="Q194" s="106">
        <v>3</v>
      </c>
      <c r="R194" s="106">
        <v>1</v>
      </c>
      <c r="S19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59</v>
      </c>
      <c r="T194" s="120">
        <f>EDUVIAL_2023[[#This Row],[TOTAL SEXO]]</f>
        <v>59</v>
      </c>
      <c r="U194" s="106" t="str">
        <f>VLOOKUP(EDUVIAL_2023[[#This Row],[INSTITUCIÓN O EMPRESA]],LISTAS!$J$1:$M$85,3,0)</f>
        <v>Zona 9</v>
      </c>
      <c r="V194" s="106" t="str">
        <f>VLOOKUP(EDUVIAL_2023[[#This Row],[INSTITUCIÓN O EMPRESA]],LISTAS!$J$1:$M$85,4,0)</f>
        <v>Centro</v>
      </c>
      <c r="W194" s="125" t="str">
        <f>VLOOKUP(EDUVIAL_2023[[#This Row],[INSTITUCIÓN O EMPRESA]],LISTAS!$J$1:$M$85,2,0)</f>
        <v>6.168450558868997, -75.5896412723252</v>
      </c>
      <c r="X194" s="114" t="b">
        <f>EXACT(EDUVIAL_2023[[#This Row],[TOTAL SEXO]],EDUVIAL_2023[[#This Row],[TOTAL RANGOS]])</f>
        <v>1</v>
      </c>
      <c r="Y194" s="106"/>
    </row>
    <row r="195" spans="1:25" ht="28.9">
      <c r="A195" s="128">
        <v>45890</v>
      </c>
      <c r="B195" s="108" t="s">
        <v>420</v>
      </c>
      <c r="C195" s="104" t="s">
        <v>49</v>
      </c>
      <c r="D195" s="104" t="s">
        <v>89</v>
      </c>
      <c r="E195" s="121" t="s">
        <v>51</v>
      </c>
      <c r="F195" s="104" t="s">
        <v>79</v>
      </c>
      <c r="G195" s="121" t="s">
        <v>51</v>
      </c>
      <c r="H195" s="14" t="s">
        <v>454</v>
      </c>
      <c r="I195" s="104" t="s">
        <v>467</v>
      </c>
      <c r="J195" s="125">
        <v>4</v>
      </c>
      <c r="K195" s="125">
        <v>26</v>
      </c>
      <c r="L195" s="112">
        <f>EDUVIAL_2023[[#This Row],[HOMBRE]]+EDUVIAL_2023[[#This Row],[MUJER]]</f>
        <v>30</v>
      </c>
      <c r="M195" s="249">
        <v>0</v>
      </c>
      <c r="N195" s="106">
        <v>0</v>
      </c>
      <c r="O195" s="106">
        <v>0</v>
      </c>
      <c r="P195" s="106">
        <v>17</v>
      </c>
      <c r="Q195" s="106">
        <v>12</v>
      </c>
      <c r="R195" s="106">
        <v>1</v>
      </c>
      <c r="S19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30</v>
      </c>
      <c r="T195" s="120">
        <f>EDUVIAL_2023[[#This Row],[TOTAL SEXO]]</f>
        <v>30</v>
      </c>
      <c r="U195" s="106" t="s">
        <v>64</v>
      </c>
      <c r="V195" s="79" t="s">
        <v>65</v>
      </c>
      <c r="W195" s="125" t="s">
        <v>456</v>
      </c>
      <c r="X195" s="114" t="b">
        <f>EXACT(EDUVIAL_2023[[#This Row],[TOTAL SEXO]],EDUVIAL_2023[[#This Row],[TOTAL RANGOS]])</f>
        <v>1</v>
      </c>
      <c r="Y195" s="106"/>
    </row>
    <row r="196" spans="1:25" ht="28.9">
      <c r="A196" s="128">
        <v>45891</v>
      </c>
      <c r="B196" s="108" t="s">
        <v>420</v>
      </c>
      <c r="C196" s="104" t="s">
        <v>67</v>
      </c>
      <c r="D196" s="104" t="s">
        <v>254</v>
      </c>
      <c r="E196" s="121" t="s">
        <v>51</v>
      </c>
      <c r="F196" s="104" t="s">
        <v>43</v>
      </c>
      <c r="G196" s="121" t="s">
        <v>468</v>
      </c>
      <c r="H196" s="121" t="s">
        <v>75</v>
      </c>
      <c r="I196" s="104" t="s">
        <v>469</v>
      </c>
      <c r="J196" s="125"/>
      <c r="K196" s="125"/>
      <c r="L196" s="112">
        <f>EDUVIAL_2023[[#This Row],[HOMBRE]]+EDUVIAL_2023[[#This Row],[MUJER]]</f>
        <v>0</v>
      </c>
      <c r="M196" s="249"/>
      <c r="N196" s="106"/>
      <c r="O196" s="106"/>
      <c r="P196" s="106"/>
      <c r="Q196" s="106"/>
      <c r="R196" s="106"/>
      <c r="S19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0</v>
      </c>
      <c r="T196" s="120">
        <f>EDUVIAL_2023[[#This Row],[TOTAL SEXO]]</f>
        <v>0</v>
      </c>
      <c r="U196" s="106" t="str">
        <f>VLOOKUP(EDUVIAL_2023[[#This Row],[INSTITUCIÓN O EMPRESA]],LISTAS!$J$1:$M$85,3,0)</f>
        <v>Zona 7</v>
      </c>
      <c r="V196" s="106" t="str">
        <f>VLOOKUP(EDUVIAL_2023[[#This Row],[INSTITUCIÓN O EMPRESA]],LISTAS!$J$1:$M$85,4,0)</f>
        <v>La Paz</v>
      </c>
      <c r="W196" s="125" t="str">
        <f>VLOOKUP(EDUVIAL_2023[[#This Row],[INSTITUCIÓN O EMPRESA]],LISTAS!$J$1:$M$85,2,0)</f>
        <v>6.162272, -75.594035</v>
      </c>
      <c r="X196" s="114" t="b">
        <f>EXACT(EDUVIAL_2023[[#This Row],[TOTAL SEXO]],EDUVIAL_2023[[#This Row],[TOTAL RANGOS]])</f>
        <v>1</v>
      </c>
      <c r="Y196" s="106"/>
    </row>
    <row r="197" spans="1:25" ht="28.9">
      <c r="A197" s="128">
        <v>45891</v>
      </c>
      <c r="B197" s="108" t="s">
        <v>420</v>
      </c>
      <c r="C197" s="104" t="s">
        <v>67</v>
      </c>
      <c r="D197" s="104" t="s">
        <v>86</v>
      </c>
      <c r="E197" s="121" t="s">
        <v>51</v>
      </c>
      <c r="F197" s="104" t="s">
        <v>43</v>
      </c>
      <c r="G197" s="121" t="s">
        <v>470</v>
      </c>
      <c r="H197" s="121" t="s">
        <v>404</v>
      </c>
      <c r="I197" s="104" t="s">
        <v>471</v>
      </c>
      <c r="J197" s="125">
        <v>18</v>
      </c>
      <c r="K197" s="125">
        <v>31</v>
      </c>
      <c r="L197" s="112">
        <f>EDUVIAL_2023[[#This Row],[HOMBRE]]+EDUVIAL_2023[[#This Row],[MUJER]]</f>
        <v>49</v>
      </c>
      <c r="M197" s="249">
        <v>0</v>
      </c>
      <c r="N197" s="106">
        <v>0</v>
      </c>
      <c r="O197" s="106">
        <v>0</v>
      </c>
      <c r="P197" s="106">
        <v>9</v>
      </c>
      <c r="Q197" s="106">
        <v>40</v>
      </c>
      <c r="R197" s="106">
        <v>0</v>
      </c>
      <c r="S19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49</v>
      </c>
      <c r="T197" s="120">
        <f>EDUVIAL_2023[[#This Row],[TOTAL SEXO]]</f>
        <v>49</v>
      </c>
      <c r="U197" s="106" t="s">
        <v>145</v>
      </c>
      <c r="V197" s="106" t="s">
        <v>406</v>
      </c>
      <c r="W197" s="75" t="s">
        <v>472</v>
      </c>
      <c r="X197" s="114" t="b">
        <f>EXACT(EDUVIAL_2023[[#This Row],[TOTAL SEXO]],EDUVIAL_2023[[#This Row],[TOTAL RANGOS]])</f>
        <v>1</v>
      </c>
      <c r="Y197" s="106"/>
    </row>
    <row r="198" spans="1:25">
      <c r="A198" s="128">
        <v>45894</v>
      </c>
      <c r="B198" s="108" t="s">
        <v>420</v>
      </c>
      <c r="C198" s="104" t="s">
        <v>67</v>
      </c>
      <c r="D198" s="104" t="s">
        <v>226</v>
      </c>
      <c r="E198" s="121" t="s">
        <v>274</v>
      </c>
      <c r="F198" s="104" t="s">
        <v>43</v>
      </c>
      <c r="G198" s="121" t="s">
        <v>473</v>
      </c>
      <c r="H198" s="121" t="s">
        <v>404</v>
      </c>
      <c r="I198" s="104" t="s">
        <v>471</v>
      </c>
      <c r="J198" s="125">
        <v>302</v>
      </c>
      <c r="K198" s="125">
        <v>219</v>
      </c>
      <c r="L198" s="112">
        <f>EDUVIAL_2023[[#This Row],[HOMBRE]]+EDUVIAL_2023[[#This Row],[MUJER]]</f>
        <v>521</v>
      </c>
      <c r="M198" s="249">
        <v>0</v>
      </c>
      <c r="N198" s="106">
        <v>515</v>
      </c>
      <c r="O198" s="106">
        <v>0</v>
      </c>
      <c r="P198" s="106">
        <v>3</v>
      </c>
      <c r="Q198" s="106">
        <v>3</v>
      </c>
      <c r="R198" s="106">
        <v>0</v>
      </c>
      <c r="S198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521</v>
      </c>
      <c r="T198" s="120">
        <f>EDUVIAL_2023[[#This Row],[TOTAL SEXO]]</f>
        <v>521</v>
      </c>
      <c r="U198" s="106" t="s">
        <v>145</v>
      </c>
      <c r="V198" s="106" t="s">
        <v>406</v>
      </c>
      <c r="W198" s="75" t="s">
        <v>472</v>
      </c>
      <c r="X198" s="114" t="b">
        <f>EXACT(EDUVIAL_2023[[#This Row],[TOTAL SEXO]],EDUVIAL_2023[[#This Row],[TOTAL RANGOS]])</f>
        <v>1</v>
      </c>
      <c r="Y198" s="106"/>
    </row>
    <row r="199" spans="1:25" ht="43.15">
      <c r="A199" s="128">
        <v>45895</v>
      </c>
      <c r="B199" s="108" t="s">
        <v>420</v>
      </c>
      <c r="C199" s="104" t="s">
        <v>176</v>
      </c>
      <c r="D199" s="104" t="s">
        <v>226</v>
      </c>
      <c r="E199" s="121" t="s">
        <v>51</v>
      </c>
      <c r="F199" s="104" t="s">
        <v>43</v>
      </c>
      <c r="G199" s="121" t="s">
        <v>474</v>
      </c>
      <c r="H199" s="121" t="s">
        <v>340</v>
      </c>
      <c r="I199" s="104" t="s">
        <v>153</v>
      </c>
      <c r="J199" s="125">
        <v>17</v>
      </c>
      <c r="K199" s="125">
        <v>8</v>
      </c>
      <c r="L199" s="112">
        <f>EDUVIAL_2023[[#This Row],[HOMBRE]]+EDUVIAL_2023[[#This Row],[MUJER]]</f>
        <v>25</v>
      </c>
      <c r="M199" s="249">
        <v>24</v>
      </c>
      <c r="N199" s="106">
        <v>0</v>
      </c>
      <c r="O199" s="106">
        <v>0</v>
      </c>
      <c r="P199" s="106">
        <v>0</v>
      </c>
      <c r="Q199" s="106">
        <v>1</v>
      </c>
      <c r="R199" s="106">
        <v>0</v>
      </c>
      <c r="S199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25</v>
      </c>
      <c r="T199" s="120">
        <f>EDUVIAL_2023[[#This Row],[TOTAL SEXO]]</f>
        <v>25</v>
      </c>
      <c r="U199" s="106" t="str">
        <f>VLOOKUP(EDUVIAL_2023[[#This Row],[INSTITUCIÓN O EMPRESA]],LISTAS!$J$1:$M$85,3,0)</f>
        <v>Zona 9</v>
      </c>
      <c r="V199" s="106" t="str">
        <f>VLOOKUP(EDUVIAL_2023[[#This Row],[INSTITUCIÓN O EMPRESA]],LISTAS!$J$1:$M$85,4,0)</f>
        <v>Centro</v>
      </c>
      <c r="W199" s="125" t="str">
        <f>VLOOKUP(EDUVIAL_2023[[#This Row],[INSTITUCIÓN O EMPRESA]],LISTAS!$J$1:$M$85,2,0)</f>
        <v>6.168450558868997, -75.5896412723252</v>
      </c>
      <c r="X199" s="114" t="b">
        <f>EXACT(EDUVIAL_2023[[#This Row],[TOTAL SEXO]],EDUVIAL_2023[[#This Row],[TOTAL RANGOS]])</f>
        <v>1</v>
      </c>
      <c r="Y199" s="106"/>
    </row>
    <row r="200" spans="1:25" ht="28.9">
      <c r="A200" s="128">
        <v>45895</v>
      </c>
      <c r="B200" s="108" t="s">
        <v>420</v>
      </c>
      <c r="C200" s="104" t="s">
        <v>67</v>
      </c>
      <c r="D200" s="104" t="s">
        <v>68</v>
      </c>
      <c r="E200" s="121" t="s">
        <v>51</v>
      </c>
      <c r="F200" s="104" t="s">
        <v>43</v>
      </c>
      <c r="G200" s="121" t="s">
        <v>475</v>
      </c>
      <c r="H200" s="121" t="s">
        <v>476</v>
      </c>
      <c r="I200" s="104" t="s">
        <v>477</v>
      </c>
      <c r="J200" s="125">
        <v>6</v>
      </c>
      <c r="K200" s="125">
        <v>22</v>
      </c>
      <c r="L200" s="112">
        <f>EDUVIAL_2023[[#This Row],[HOMBRE]]+EDUVIAL_2023[[#This Row],[MUJER]]</f>
        <v>28</v>
      </c>
      <c r="M200" s="249">
        <v>0</v>
      </c>
      <c r="N200" s="106">
        <v>0</v>
      </c>
      <c r="O200" s="106">
        <v>0</v>
      </c>
      <c r="P200" s="106">
        <v>1</v>
      </c>
      <c r="Q200" s="106">
        <v>24</v>
      </c>
      <c r="R200" s="106">
        <v>3</v>
      </c>
      <c r="S200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28</v>
      </c>
      <c r="T200" s="120">
        <f>EDUVIAL_2023[[#This Row],[TOTAL SEXO]]</f>
        <v>28</v>
      </c>
      <c r="U200" s="106" t="s">
        <v>132</v>
      </c>
      <c r="V200" s="106" t="s">
        <v>324</v>
      </c>
      <c r="W200" s="75" t="s">
        <v>325</v>
      </c>
      <c r="X200" s="114" t="b">
        <f>EXACT(EDUVIAL_2023[[#This Row],[TOTAL SEXO]],EDUVIAL_2023[[#This Row],[TOTAL RANGOS]])</f>
        <v>1</v>
      </c>
      <c r="Y200" s="106"/>
    </row>
    <row r="201" spans="1:25" ht="43.15">
      <c r="A201" s="128">
        <v>45896</v>
      </c>
      <c r="B201" s="108" t="s">
        <v>420</v>
      </c>
      <c r="C201" s="104" t="s">
        <v>176</v>
      </c>
      <c r="D201" s="104" t="s">
        <v>226</v>
      </c>
      <c r="E201" s="121" t="s">
        <v>51</v>
      </c>
      <c r="F201" s="104" t="s">
        <v>43</v>
      </c>
      <c r="G201" s="121" t="s">
        <v>474</v>
      </c>
      <c r="H201" s="121" t="s">
        <v>340</v>
      </c>
      <c r="I201" s="104" t="s">
        <v>153</v>
      </c>
      <c r="J201" s="125">
        <v>11</v>
      </c>
      <c r="K201" s="125">
        <v>30</v>
      </c>
      <c r="L201" s="112">
        <f>EDUVIAL_2023[[#This Row],[HOMBRE]]+EDUVIAL_2023[[#This Row],[MUJER]]</f>
        <v>41</v>
      </c>
      <c r="M201" s="249">
        <v>0</v>
      </c>
      <c r="N201" s="106">
        <v>25</v>
      </c>
      <c r="O201" s="106">
        <v>0</v>
      </c>
      <c r="P201" s="106">
        <v>1</v>
      </c>
      <c r="Q201" s="106">
        <v>15</v>
      </c>
      <c r="R201" s="106">
        <v>0</v>
      </c>
      <c r="S201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41</v>
      </c>
      <c r="T201" s="120">
        <f>EDUVIAL_2023[[#This Row],[TOTAL SEXO]]</f>
        <v>41</v>
      </c>
      <c r="U201" s="106" t="str">
        <f>VLOOKUP(EDUVIAL_2023[[#This Row],[INSTITUCIÓN O EMPRESA]],LISTAS!$J$1:$M$85,3,0)</f>
        <v>Zona 9</v>
      </c>
      <c r="V201" s="106" t="str">
        <f>VLOOKUP(EDUVIAL_2023[[#This Row],[INSTITUCIÓN O EMPRESA]],LISTAS!$J$1:$M$85,4,0)</f>
        <v>Centro</v>
      </c>
      <c r="W201" s="125" t="str">
        <f>VLOOKUP(EDUVIAL_2023[[#This Row],[INSTITUCIÓN O EMPRESA]],LISTAS!$J$1:$M$85,2,0)</f>
        <v>6.168450558868997, -75.5896412723252</v>
      </c>
      <c r="X201" s="114" t="b">
        <f>EXACT(EDUVIAL_2023[[#This Row],[TOTAL SEXO]],EDUVIAL_2023[[#This Row],[TOTAL RANGOS]])</f>
        <v>1</v>
      </c>
      <c r="Y201" s="106"/>
    </row>
    <row r="202" spans="1:25">
      <c r="A202" s="128">
        <v>45896</v>
      </c>
      <c r="B202" s="108" t="s">
        <v>420</v>
      </c>
      <c r="C202" s="104" t="s">
        <v>67</v>
      </c>
      <c r="D202" s="104" t="s">
        <v>137</v>
      </c>
      <c r="E202" s="121" t="s">
        <v>69</v>
      </c>
      <c r="F202" s="104" t="s">
        <v>43</v>
      </c>
      <c r="G202" s="121" t="s">
        <v>478</v>
      </c>
      <c r="H202" s="121" t="s">
        <v>75</v>
      </c>
      <c r="I202" s="104" t="s">
        <v>469</v>
      </c>
      <c r="J202" s="125">
        <v>1</v>
      </c>
      <c r="K202" s="125">
        <v>0</v>
      </c>
      <c r="L202" s="112">
        <f>EDUVIAL_2023[[#This Row],[HOMBRE]]+EDUVIAL_2023[[#This Row],[MUJER]]</f>
        <v>1</v>
      </c>
      <c r="M202" s="249">
        <v>0</v>
      </c>
      <c r="N202" s="106">
        <v>0</v>
      </c>
      <c r="O202" s="106">
        <v>0</v>
      </c>
      <c r="P202" s="106">
        <v>0</v>
      </c>
      <c r="Q202" s="106">
        <v>1</v>
      </c>
      <c r="R202" s="106">
        <v>0</v>
      </c>
      <c r="S202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202" s="120">
        <f>EDUVIAL_2023[[#This Row],[TOTAL SEXO]]</f>
        <v>1</v>
      </c>
      <c r="U202" s="106" t="s">
        <v>132</v>
      </c>
      <c r="V202" s="106" t="s">
        <v>479</v>
      </c>
      <c r="W202" s="75" t="s">
        <v>480</v>
      </c>
      <c r="X202" s="114" t="b">
        <f>EXACT(EDUVIAL_2023[[#This Row],[TOTAL SEXO]],EDUVIAL_2023[[#This Row],[TOTAL RANGOS]])</f>
        <v>1</v>
      </c>
      <c r="Y202" s="106"/>
    </row>
    <row r="203" spans="1:25">
      <c r="A203" s="128">
        <v>45896</v>
      </c>
      <c r="B203" s="108" t="s">
        <v>420</v>
      </c>
      <c r="C203" s="104" t="s">
        <v>106</v>
      </c>
      <c r="D203" s="104" t="s">
        <v>101</v>
      </c>
      <c r="E203" s="121" t="s">
        <v>69</v>
      </c>
      <c r="F203" s="104" t="s">
        <v>43</v>
      </c>
      <c r="G203" s="121" t="s">
        <v>481</v>
      </c>
      <c r="H203" s="121" t="s">
        <v>340</v>
      </c>
      <c r="I203" s="104" t="s">
        <v>43</v>
      </c>
      <c r="J203" s="125">
        <v>5</v>
      </c>
      <c r="K203" s="125">
        <v>26</v>
      </c>
      <c r="L203" s="112">
        <f>EDUVIAL_2023[[#This Row],[HOMBRE]]+EDUVIAL_2023[[#This Row],[MUJER]]</f>
        <v>31</v>
      </c>
      <c r="M203" s="249">
        <v>0</v>
      </c>
      <c r="N203" s="106">
        <v>0</v>
      </c>
      <c r="O203" s="106">
        <v>31</v>
      </c>
      <c r="P203" s="106">
        <v>0</v>
      </c>
      <c r="Q203" s="106">
        <v>0</v>
      </c>
      <c r="R203" s="106">
        <v>0</v>
      </c>
      <c r="S203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31</v>
      </c>
      <c r="T203" s="120">
        <f>EDUVIAL_2023[[#This Row],[TOTAL SEXO]]</f>
        <v>31</v>
      </c>
      <c r="U203" s="106" t="str">
        <f>VLOOKUP(EDUVIAL_2023[[#This Row],[INSTITUCIÓN O EMPRESA]],LISTAS!$J$1:$M$85,3,0)</f>
        <v>Zona 9</v>
      </c>
      <c r="V203" s="106" t="str">
        <f>VLOOKUP(EDUVIAL_2023[[#This Row],[INSTITUCIÓN O EMPRESA]],LISTAS!$J$1:$M$85,4,0)</f>
        <v>Centro</v>
      </c>
      <c r="W203" s="125" t="str">
        <f>VLOOKUP(EDUVIAL_2023[[#This Row],[INSTITUCIÓN O EMPRESA]],LISTAS!$J$1:$M$85,2,0)</f>
        <v>6.168450558868997, -75.5896412723252</v>
      </c>
      <c r="X203" s="114" t="b">
        <f>EXACT(EDUVIAL_2023[[#This Row],[TOTAL SEXO]],EDUVIAL_2023[[#This Row],[TOTAL RANGOS]])</f>
        <v>1</v>
      </c>
      <c r="Y203" s="106"/>
    </row>
    <row r="204" spans="1:25">
      <c r="A204" s="128">
        <v>45896</v>
      </c>
      <c r="B204" s="108" t="s">
        <v>420</v>
      </c>
      <c r="C204" s="104" t="s">
        <v>49</v>
      </c>
      <c r="D204" s="104" t="s">
        <v>89</v>
      </c>
      <c r="E204" s="121" t="s">
        <v>69</v>
      </c>
      <c r="F204" s="104" t="s">
        <v>79</v>
      </c>
      <c r="G204" s="121" t="s">
        <v>482</v>
      </c>
      <c r="H204" s="14" t="s">
        <v>483</v>
      </c>
      <c r="I204" s="104" t="s">
        <v>484</v>
      </c>
      <c r="J204" s="125">
        <v>2</v>
      </c>
      <c r="K204" s="125">
        <v>0</v>
      </c>
      <c r="L204" s="112">
        <f>EDUVIAL_2023[[#This Row],[HOMBRE]]+EDUVIAL_2023[[#This Row],[MUJER]]</f>
        <v>2</v>
      </c>
      <c r="M204" s="249">
        <v>0</v>
      </c>
      <c r="N204" s="106">
        <v>0</v>
      </c>
      <c r="O204" s="106">
        <v>0</v>
      </c>
      <c r="P204" s="106">
        <v>0</v>
      </c>
      <c r="Q204" s="106">
        <v>2</v>
      </c>
      <c r="R204" s="106">
        <v>0</v>
      </c>
      <c r="S20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</v>
      </c>
      <c r="T204" s="120">
        <f>EDUVIAL_2023[[#This Row],[TOTAL SEXO]]</f>
        <v>2</v>
      </c>
      <c r="U204" s="106" t="s">
        <v>64</v>
      </c>
      <c r="V204" s="79" t="s">
        <v>65</v>
      </c>
      <c r="W204" s="125" t="s">
        <v>485</v>
      </c>
      <c r="X204" s="114" t="b">
        <f>EXACT(EDUVIAL_2023[[#This Row],[TOTAL SEXO]],EDUVIAL_2023[[#This Row],[TOTAL RANGOS]])</f>
        <v>1</v>
      </c>
      <c r="Y204" s="106"/>
    </row>
    <row r="205" spans="1:25" ht="28.9">
      <c r="A205" s="128">
        <v>45897</v>
      </c>
      <c r="B205" s="108" t="s">
        <v>420</v>
      </c>
      <c r="C205" s="104" t="s">
        <v>49</v>
      </c>
      <c r="D205" s="104" t="s">
        <v>89</v>
      </c>
      <c r="E205" s="121" t="s">
        <v>486</v>
      </c>
      <c r="F205" s="104" t="s">
        <v>29</v>
      </c>
      <c r="G205" s="121" t="s">
        <v>487</v>
      </c>
      <c r="H205" s="23" t="s">
        <v>488</v>
      </c>
      <c r="I205" s="104" t="s">
        <v>489</v>
      </c>
      <c r="J205" s="125">
        <v>12</v>
      </c>
      <c r="K205" s="125">
        <v>2</v>
      </c>
      <c r="L205" s="112">
        <f>EDUVIAL_2023[[#This Row],[HOMBRE]]+EDUVIAL_2023[[#This Row],[MUJER]]</f>
        <v>14</v>
      </c>
      <c r="M205" s="249">
        <v>0</v>
      </c>
      <c r="N205" s="106">
        <v>0</v>
      </c>
      <c r="O205" s="106">
        <v>0</v>
      </c>
      <c r="P205" s="106">
        <v>0</v>
      </c>
      <c r="Q205" s="106">
        <v>14</v>
      </c>
      <c r="R205" s="106">
        <v>0</v>
      </c>
      <c r="S20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14</v>
      </c>
      <c r="T205" s="120">
        <f>EDUVIAL_2023[[#This Row],[TOTAL SEXO]]</f>
        <v>14</v>
      </c>
      <c r="U205" s="106" t="s">
        <v>33</v>
      </c>
      <c r="V205" s="106" t="s">
        <v>34</v>
      </c>
      <c r="W205" s="125" t="s">
        <v>42</v>
      </c>
      <c r="X205" s="114" t="b">
        <f>EXACT(EDUVIAL_2023[[#This Row],[TOTAL SEXO]],EDUVIAL_2023[[#This Row],[TOTAL RANGOS]])</f>
        <v>1</v>
      </c>
      <c r="Y205" s="106"/>
    </row>
    <row r="206" spans="1:25" ht="43.15">
      <c r="A206" s="128">
        <v>45897</v>
      </c>
      <c r="B206" s="108" t="s">
        <v>420</v>
      </c>
      <c r="C206" s="104" t="s">
        <v>176</v>
      </c>
      <c r="D206" s="104" t="s">
        <v>371</v>
      </c>
      <c r="E206" s="121" t="s">
        <v>51</v>
      </c>
      <c r="F206" s="104" t="s">
        <v>43</v>
      </c>
      <c r="G206" s="121" t="s">
        <v>474</v>
      </c>
      <c r="H206" s="121" t="s">
        <v>340</v>
      </c>
      <c r="I206" s="104" t="s">
        <v>153</v>
      </c>
      <c r="J206" s="125">
        <v>27</v>
      </c>
      <c r="K206" s="125">
        <v>37</v>
      </c>
      <c r="L206" s="112">
        <f>EDUVIAL_2023[[#This Row],[HOMBRE]]+EDUVIAL_2023[[#This Row],[MUJER]]</f>
        <v>64</v>
      </c>
      <c r="M206" s="249">
        <v>58</v>
      </c>
      <c r="N206" s="106">
        <v>0</v>
      </c>
      <c r="O206" s="106">
        <v>0</v>
      </c>
      <c r="P206" s="106">
        <v>1</v>
      </c>
      <c r="Q206" s="106">
        <v>4</v>
      </c>
      <c r="R206" s="106">
        <v>1</v>
      </c>
      <c r="S20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64</v>
      </c>
      <c r="T206" s="120">
        <f>EDUVIAL_2023[[#This Row],[TOTAL SEXO]]</f>
        <v>64</v>
      </c>
      <c r="U206" s="106" t="str">
        <f>VLOOKUP(EDUVIAL_2023[[#This Row],[INSTITUCIÓN O EMPRESA]],LISTAS!$J$1:$M$85,3,0)</f>
        <v>Zona 9</v>
      </c>
      <c r="V206" s="106" t="str">
        <f>VLOOKUP(EDUVIAL_2023[[#This Row],[INSTITUCIÓN O EMPRESA]],LISTAS!$J$1:$M$85,4,0)</f>
        <v>Centro</v>
      </c>
      <c r="W206" s="125" t="str">
        <f>VLOOKUP(EDUVIAL_2023[[#This Row],[INSTITUCIÓN O EMPRESA]],LISTAS!$J$1:$M$85,2,0)</f>
        <v>6.168450558868997, -75.5896412723252</v>
      </c>
      <c r="X206" s="114" t="b">
        <f>EXACT(EDUVIAL_2023[[#This Row],[TOTAL SEXO]],EDUVIAL_2023[[#This Row],[TOTAL RANGOS]])</f>
        <v>1</v>
      </c>
      <c r="Y206" s="106"/>
    </row>
    <row r="207" spans="1:25">
      <c r="A207" s="128">
        <v>45898</v>
      </c>
      <c r="B207" s="108" t="s">
        <v>420</v>
      </c>
      <c r="C207" s="104" t="s">
        <v>490</v>
      </c>
      <c r="D207" s="104" t="s">
        <v>460</v>
      </c>
      <c r="E207" s="121" t="s">
        <v>491</v>
      </c>
      <c r="F207" s="104" t="s">
        <v>43</v>
      </c>
      <c r="G207" s="121" t="s">
        <v>492</v>
      </c>
      <c r="H207" s="121" t="s">
        <v>340</v>
      </c>
      <c r="I207" s="104" t="s">
        <v>43</v>
      </c>
      <c r="J207" s="125">
        <v>6</v>
      </c>
      <c r="K207" s="125">
        <v>20</v>
      </c>
      <c r="L207" s="112">
        <f>EDUVIAL_2023[[#This Row],[HOMBRE]]+EDUVIAL_2023[[#This Row],[MUJER]]</f>
        <v>26</v>
      </c>
      <c r="M207" s="249">
        <v>0</v>
      </c>
      <c r="N207" s="106">
        <v>5</v>
      </c>
      <c r="O207" s="106">
        <v>5</v>
      </c>
      <c r="P207" s="106">
        <v>3</v>
      </c>
      <c r="Q207" s="106">
        <v>8</v>
      </c>
      <c r="R207" s="106">
        <v>5</v>
      </c>
      <c r="S20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26</v>
      </c>
      <c r="T207" s="120">
        <f>EDUVIAL_2023[[#This Row],[TOTAL SEXO]]</f>
        <v>26</v>
      </c>
      <c r="U207" s="106" t="str">
        <f>VLOOKUP(EDUVIAL_2023[[#This Row],[INSTITUCIÓN O EMPRESA]],LISTAS!$J$1:$M$85,3,0)</f>
        <v>Zona 9</v>
      </c>
      <c r="V207" s="106" t="str">
        <f>VLOOKUP(EDUVIAL_2023[[#This Row],[INSTITUCIÓN O EMPRESA]],LISTAS!$J$1:$M$85,4,0)</f>
        <v>Centro</v>
      </c>
      <c r="W207" s="125" t="str">
        <f>VLOOKUP(EDUVIAL_2023[[#This Row],[INSTITUCIÓN O EMPRESA]],LISTAS!$J$1:$M$85,2,0)</f>
        <v>6.168450558868997, -75.5896412723252</v>
      </c>
      <c r="X207" s="114" t="b">
        <f>EXACT(EDUVIAL_2023[[#This Row],[TOTAL SEXO]],EDUVIAL_2023[[#This Row],[TOTAL RANGOS]])</f>
        <v>1</v>
      </c>
      <c r="Y207" s="106"/>
    </row>
    <row r="208" spans="1:25" ht="28.9">
      <c r="A208" s="128">
        <v>45899</v>
      </c>
      <c r="B208" s="108" t="s">
        <v>420</v>
      </c>
      <c r="C208" s="104" t="s">
        <v>106</v>
      </c>
      <c r="D208" s="104" t="s">
        <v>460</v>
      </c>
      <c r="E208" s="121" t="s">
        <v>51</v>
      </c>
      <c r="F208" s="104" t="s">
        <v>43</v>
      </c>
      <c r="G208" s="121" t="s">
        <v>493</v>
      </c>
      <c r="H208" s="121" t="s">
        <v>340</v>
      </c>
      <c r="I208" s="104" t="s">
        <v>494</v>
      </c>
      <c r="J208" s="125">
        <v>0</v>
      </c>
      <c r="K208" s="125">
        <v>0</v>
      </c>
      <c r="L208" s="112">
        <f>EDUVIAL_2023[[#This Row],[HOMBRE]]+EDUVIAL_2023[[#This Row],[MUJER]]</f>
        <v>0</v>
      </c>
      <c r="M208" s="249">
        <v>0</v>
      </c>
      <c r="N208" s="106">
        <v>0</v>
      </c>
      <c r="O208" s="106">
        <v>0</v>
      </c>
      <c r="P208" s="106">
        <v>0</v>
      </c>
      <c r="Q208" s="106">
        <v>0</v>
      </c>
      <c r="R208" s="106">
        <v>0</v>
      </c>
      <c r="S208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0</v>
      </c>
      <c r="T208" s="120">
        <f>EDUVIAL_2023[[#This Row],[TOTAL SEXO]]</f>
        <v>0</v>
      </c>
      <c r="U208" s="106" t="str">
        <f>VLOOKUP(EDUVIAL_2023[[#This Row],[INSTITUCIÓN O EMPRESA]],LISTAS!$J$1:$M$85,3,0)</f>
        <v>Zona 9</v>
      </c>
      <c r="V208" s="106" t="str">
        <f>VLOOKUP(EDUVIAL_2023[[#This Row],[INSTITUCIÓN O EMPRESA]],LISTAS!$J$1:$M$85,4,0)</f>
        <v>Centro</v>
      </c>
      <c r="W208" s="125" t="str">
        <f>VLOOKUP(EDUVIAL_2023[[#This Row],[INSTITUCIÓN O EMPRESA]],LISTAS!$J$1:$M$85,2,0)</f>
        <v>6.168450558868997, -75.5896412723252</v>
      </c>
      <c r="X208" s="114" t="b">
        <f>EXACT(EDUVIAL_2023[[#This Row],[TOTAL SEXO]],EDUVIAL_2023[[#This Row],[TOTAL RANGOS]])</f>
        <v>1</v>
      </c>
      <c r="Y208" s="106"/>
    </row>
    <row r="209" spans="1:25">
      <c r="A209" s="128">
        <v>45901</v>
      </c>
      <c r="B209" s="108" t="s">
        <v>495</v>
      </c>
      <c r="C209" s="104" t="s">
        <v>36</v>
      </c>
      <c r="D209" s="104" t="s">
        <v>37</v>
      </c>
      <c r="E209" s="121" t="s">
        <v>38</v>
      </c>
      <c r="F209" s="104" t="s">
        <v>43</v>
      </c>
      <c r="G209" s="121" t="s">
        <v>496</v>
      </c>
      <c r="H209" s="208" t="s">
        <v>340</v>
      </c>
      <c r="I209" s="104" t="s">
        <v>497</v>
      </c>
      <c r="J209" s="125">
        <v>1</v>
      </c>
      <c r="K209" s="125">
        <v>0</v>
      </c>
      <c r="L209" s="112">
        <f>EDUVIAL_2023[[#This Row],[HOMBRE]]+EDUVIAL_2023[[#This Row],[MUJER]]</f>
        <v>1</v>
      </c>
      <c r="M209" s="249">
        <v>0</v>
      </c>
      <c r="N209" s="106">
        <v>0</v>
      </c>
      <c r="O209" s="106">
        <v>0</v>
      </c>
      <c r="P209" s="106">
        <v>0</v>
      </c>
      <c r="Q209" s="106">
        <v>1</v>
      </c>
      <c r="R209" s="106">
        <v>0</v>
      </c>
      <c r="S209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209" s="120">
        <f>EDUVIAL_2023[[#This Row],[TOTAL SEXO]]</f>
        <v>1</v>
      </c>
      <c r="U209" s="106" t="str">
        <f>VLOOKUP(EDUVIAL_2023[[#This Row],[INSTITUCIÓN O EMPRESA]],LISTAS!$J$1:$M$85,3,0)</f>
        <v>Zona 9</v>
      </c>
      <c r="V209" s="106" t="str">
        <f>VLOOKUP(EDUVIAL_2023[[#This Row],[INSTITUCIÓN O EMPRESA]],LISTAS!$J$1:$M$85,4,0)</f>
        <v>Centro</v>
      </c>
      <c r="W209" s="125" t="str">
        <f>VLOOKUP(EDUVIAL_2023[[#This Row],[INSTITUCIÓN O EMPRESA]],LISTAS!$J$1:$M$85,2,0)</f>
        <v>6.168450558868997, -75.5896412723252</v>
      </c>
      <c r="X209" s="114" t="b">
        <f>EXACT(EDUVIAL_2023[[#This Row],[TOTAL SEXO]],EDUVIAL_2023[[#This Row],[TOTAL RANGOS]])</f>
        <v>1</v>
      </c>
      <c r="Y209" s="106"/>
    </row>
    <row r="210" spans="1:25" ht="28.9">
      <c r="A210" s="128">
        <v>45902</v>
      </c>
      <c r="B210" s="108" t="s">
        <v>495</v>
      </c>
      <c r="C210" s="104" t="s">
        <v>176</v>
      </c>
      <c r="D210" s="104" t="s">
        <v>371</v>
      </c>
      <c r="E210" s="121" t="s">
        <v>51</v>
      </c>
      <c r="F210" s="104" t="s">
        <v>346</v>
      </c>
      <c r="G210" s="121" t="s">
        <v>498</v>
      </c>
      <c r="H210" s="121" t="s">
        <v>340</v>
      </c>
      <c r="I210" s="104" t="s">
        <v>345</v>
      </c>
      <c r="J210" s="125">
        <v>13</v>
      </c>
      <c r="K210" s="125">
        <v>19</v>
      </c>
      <c r="L210" s="112">
        <f>EDUVIAL_2023[[#This Row],[HOMBRE]]+EDUVIAL_2023[[#This Row],[MUJER]]</f>
        <v>32</v>
      </c>
      <c r="M210" s="249">
        <v>27</v>
      </c>
      <c r="N210" s="106">
        <v>0</v>
      </c>
      <c r="O210" s="106">
        <v>0</v>
      </c>
      <c r="P210" s="106">
        <v>2</v>
      </c>
      <c r="Q210" s="106">
        <v>3</v>
      </c>
      <c r="R210" s="106">
        <v>0</v>
      </c>
      <c r="S210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32</v>
      </c>
      <c r="T210" s="120">
        <f>EDUVIAL_2023[[#This Row],[TOTAL SEXO]]</f>
        <v>32</v>
      </c>
      <c r="U210" s="106" t="str">
        <f>VLOOKUP(EDUVIAL_2023[[#This Row],[INSTITUCIÓN O EMPRESA]],LISTAS!$J$1:$M$85,3,0)</f>
        <v>Zona 9</v>
      </c>
      <c r="V210" s="106" t="str">
        <f>VLOOKUP(EDUVIAL_2023[[#This Row],[INSTITUCIÓN O EMPRESA]],LISTAS!$J$1:$M$85,4,0)</f>
        <v>Centro</v>
      </c>
      <c r="W210" s="125" t="str">
        <f>VLOOKUP(EDUVIAL_2023[[#This Row],[INSTITUCIÓN O EMPRESA]],LISTAS!$J$1:$M$85,2,0)</f>
        <v>6.168450558868997, -75.5896412723252</v>
      </c>
      <c r="X210" s="114" t="b">
        <f>EXACT(EDUVIAL_2023[[#This Row],[TOTAL SEXO]],EDUVIAL_2023[[#This Row],[TOTAL RANGOS]])</f>
        <v>1</v>
      </c>
      <c r="Y210" s="106"/>
    </row>
    <row r="211" spans="1:25" ht="28.9">
      <c r="A211" s="128">
        <v>45903</v>
      </c>
      <c r="B211" s="115" t="s">
        <v>495</v>
      </c>
      <c r="C211" s="129" t="s">
        <v>176</v>
      </c>
      <c r="D211" s="129" t="s">
        <v>226</v>
      </c>
      <c r="E211" s="130" t="s">
        <v>51</v>
      </c>
      <c r="F211" s="129" t="s">
        <v>43</v>
      </c>
      <c r="G211" s="121" t="s">
        <v>499</v>
      </c>
      <c r="H211" s="130" t="s">
        <v>340</v>
      </c>
      <c r="I211" s="104" t="s">
        <v>345</v>
      </c>
      <c r="J211" s="166">
        <v>17</v>
      </c>
      <c r="K211" s="166">
        <v>16</v>
      </c>
      <c r="L211" s="131">
        <f>EDUVIAL_2023[[#This Row],[HOMBRE]]+EDUVIAL_2023[[#This Row],[MUJER]]</f>
        <v>33</v>
      </c>
      <c r="M211" s="250">
        <v>0</v>
      </c>
      <c r="N211" s="116">
        <v>30</v>
      </c>
      <c r="O211" s="116">
        <v>0</v>
      </c>
      <c r="P211" s="116">
        <v>0</v>
      </c>
      <c r="Q211" s="116">
        <v>3</v>
      </c>
      <c r="R211" s="116">
        <v>0</v>
      </c>
      <c r="S211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33</v>
      </c>
      <c r="T211" s="132">
        <f>EDUVIAL_2023[[#This Row],[TOTAL SEXO]]</f>
        <v>33</v>
      </c>
      <c r="U211" s="106" t="str">
        <f>VLOOKUP(EDUVIAL_2023[[#This Row],[INSTITUCIÓN O EMPRESA]],LISTAS!$J$1:$M$85,3,0)</f>
        <v>Zona 9</v>
      </c>
      <c r="V211" s="106" t="str">
        <f>VLOOKUP(EDUVIAL_2023[[#This Row],[INSTITUCIÓN O EMPRESA]],LISTAS!$J$1:$M$85,4,0)</f>
        <v>Centro</v>
      </c>
      <c r="W211" s="125" t="str">
        <f>VLOOKUP(EDUVIAL_2023[[#This Row],[INSTITUCIÓN O EMPRESA]],LISTAS!$J$1:$M$85,2,0)</f>
        <v>6.168450558868997, -75.5896412723252</v>
      </c>
      <c r="X211" s="117" t="b">
        <f>EXACT(EDUVIAL_2023[[#This Row],[TOTAL SEXO]],EDUVIAL_2023[[#This Row],[TOTAL RANGOS]])</f>
        <v>1</v>
      </c>
      <c r="Y211" s="116"/>
    </row>
    <row r="212" spans="1:25" ht="28.9">
      <c r="A212" s="128">
        <v>45903</v>
      </c>
      <c r="B212" s="108" t="s">
        <v>495</v>
      </c>
      <c r="C212" s="104" t="s">
        <v>49</v>
      </c>
      <c r="D212" s="104" t="s">
        <v>50</v>
      </c>
      <c r="E212" s="121" t="s">
        <v>51</v>
      </c>
      <c r="F212" s="104" t="s">
        <v>79</v>
      </c>
      <c r="G212" s="121" t="s">
        <v>51</v>
      </c>
      <c r="H212" s="14" t="s">
        <v>483</v>
      </c>
      <c r="I212" s="104" t="s">
        <v>484</v>
      </c>
      <c r="J212" s="125">
        <v>23</v>
      </c>
      <c r="K212" s="125">
        <v>2</v>
      </c>
      <c r="L212" s="112">
        <f>EDUVIAL_2023[[#This Row],[HOMBRE]]+EDUVIAL_2023[[#This Row],[MUJER]]</f>
        <v>25</v>
      </c>
      <c r="M212" s="249">
        <v>0</v>
      </c>
      <c r="N212" s="106">
        <v>0</v>
      </c>
      <c r="O212" s="106">
        <v>0</v>
      </c>
      <c r="P212" s="106">
        <v>7</v>
      </c>
      <c r="Q212" s="106">
        <v>18</v>
      </c>
      <c r="R212" s="106">
        <v>0</v>
      </c>
      <c r="S212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25</v>
      </c>
      <c r="T212" s="120">
        <f>EDUVIAL_2023[[#This Row],[TOTAL SEXO]]</f>
        <v>25</v>
      </c>
      <c r="U212" s="106" t="s">
        <v>64</v>
      </c>
      <c r="V212" s="79" t="s">
        <v>65</v>
      </c>
      <c r="W212" s="125" t="s">
        <v>485</v>
      </c>
      <c r="X212" s="114" t="b">
        <f>EXACT(EDUVIAL_2023[[#This Row],[TOTAL SEXO]],EDUVIAL_2023[[#This Row],[TOTAL RANGOS]])</f>
        <v>1</v>
      </c>
      <c r="Y212" s="106"/>
    </row>
    <row r="213" spans="1:25" ht="28.9">
      <c r="A213" s="128">
        <v>45904</v>
      </c>
      <c r="B213" s="108" t="s">
        <v>495</v>
      </c>
      <c r="C213" s="104" t="s">
        <v>49</v>
      </c>
      <c r="D213" s="104" t="s">
        <v>89</v>
      </c>
      <c r="E213" s="121" t="s">
        <v>69</v>
      </c>
      <c r="F213" s="104" t="s">
        <v>346</v>
      </c>
      <c r="G213" s="121" t="s">
        <v>500</v>
      </c>
      <c r="H213" s="14" t="s">
        <v>501</v>
      </c>
      <c r="I213" s="104" t="s">
        <v>502</v>
      </c>
      <c r="J213" s="125">
        <v>1</v>
      </c>
      <c r="K213" s="125">
        <v>0</v>
      </c>
      <c r="L213" s="112">
        <f>EDUVIAL_2023[[#This Row],[HOMBRE]]+EDUVIAL_2023[[#This Row],[MUJER]]</f>
        <v>1</v>
      </c>
      <c r="M213" s="249">
        <v>0</v>
      </c>
      <c r="N213" s="106">
        <v>0</v>
      </c>
      <c r="O213" s="106">
        <v>0</v>
      </c>
      <c r="P213" s="106">
        <v>0</v>
      </c>
      <c r="Q213" s="106">
        <v>1</v>
      </c>
      <c r="R213" s="106">
        <v>0</v>
      </c>
      <c r="S213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213" s="120">
        <f>EDUVIAL_2023[[#This Row],[TOTAL SEXO]]</f>
        <v>1</v>
      </c>
      <c r="U213" s="106" t="s">
        <v>64</v>
      </c>
      <c r="V213" s="79" t="s">
        <v>65</v>
      </c>
      <c r="W213" s="125" t="s">
        <v>503</v>
      </c>
      <c r="X213" s="114" t="b">
        <f>EXACT(EDUVIAL_2023[[#This Row],[TOTAL SEXO]],EDUVIAL_2023[[#This Row],[TOTAL RANGOS]])</f>
        <v>1</v>
      </c>
      <c r="Y213" s="106"/>
    </row>
    <row r="214" spans="1:25" ht="28.9">
      <c r="A214" s="128">
        <v>45904</v>
      </c>
      <c r="B214" s="108" t="s">
        <v>495</v>
      </c>
      <c r="C214" s="104" t="s">
        <v>176</v>
      </c>
      <c r="D214" s="104" t="s">
        <v>226</v>
      </c>
      <c r="E214" s="121" t="s">
        <v>51</v>
      </c>
      <c r="F214" s="104" t="s">
        <v>43</v>
      </c>
      <c r="G214" s="121" t="s">
        <v>504</v>
      </c>
      <c r="H214" s="121" t="s">
        <v>340</v>
      </c>
      <c r="I214" s="104" t="s">
        <v>345</v>
      </c>
      <c r="J214" s="125">
        <v>13</v>
      </c>
      <c r="K214" s="125">
        <v>21</v>
      </c>
      <c r="L214" s="112">
        <f>EDUVIAL_2023[[#This Row],[HOMBRE]]+EDUVIAL_2023[[#This Row],[MUJER]]</f>
        <v>34</v>
      </c>
      <c r="M214" s="249">
        <v>0</v>
      </c>
      <c r="N214" s="106">
        <v>31</v>
      </c>
      <c r="O214" s="106">
        <v>0</v>
      </c>
      <c r="P214" s="106">
        <v>0</v>
      </c>
      <c r="Q214" s="106">
        <v>3</v>
      </c>
      <c r="R214" s="106">
        <v>0</v>
      </c>
      <c r="S21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34</v>
      </c>
      <c r="T214" s="120">
        <f>EDUVIAL_2023[[#This Row],[TOTAL SEXO]]</f>
        <v>34</v>
      </c>
      <c r="U214" s="106" t="str">
        <f>VLOOKUP(EDUVIAL_2023[[#This Row],[INSTITUCIÓN O EMPRESA]],LISTAS!$J$1:$M$85,3,0)</f>
        <v>Zona 9</v>
      </c>
      <c r="V214" s="106" t="str">
        <f>VLOOKUP(EDUVIAL_2023[[#This Row],[INSTITUCIÓN O EMPRESA]],LISTAS!$J$1:$M$85,4,0)</f>
        <v>Centro</v>
      </c>
      <c r="W214" s="125" t="str">
        <f>VLOOKUP(EDUVIAL_2023[[#This Row],[INSTITUCIÓN O EMPRESA]],LISTAS!$J$1:$M$85,2,0)</f>
        <v>6.168450558868997, -75.5896412723252</v>
      </c>
      <c r="X214" s="114" t="b">
        <f>EXACT(EDUVIAL_2023[[#This Row],[TOTAL SEXO]],EDUVIAL_2023[[#This Row],[TOTAL RANGOS]])</f>
        <v>1</v>
      </c>
      <c r="Y214" s="106"/>
    </row>
    <row r="215" spans="1:25" ht="28.9">
      <c r="A215" s="128">
        <v>45904</v>
      </c>
      <c r="B215" s="108" t="s">
        <v>495</v>
      </c>
      <c r="C215" s="104" t="s">
        <v>49</v>
      </c>
      <c r="D215" s="104" t="s">
        <v>50</v>
      </c>
      <c r="E215" s="121" t="s">
        <v>51</v>
      </c>
      <c r="F215" s="104" t="s">
        <v>79</v>
      </c>
      <c r="G215" s="121" t="s">
        <v>51</v>
      </c>
      <c r="H215" s="14" t="s">
        <v>483</v>
      </c>
      <c r="I215" s="104" t="s">
        <v>484</v>
      </c>
      <c r="J215" s="125">
        <v>25</v>
      </c>
      <c r="K215" s="125">
        <v>5</v>
      </c>
      <c r="L215" s="112">
        <f>EDUVIAL_2023[[#This Row],[HOMBRE]]+EDUVIAL_2023[[#This Row],[MUJER]]</f>
        <v>30</v>
      </c>
      <c r="M215" s="249">
        <v>0</v>
      </c>
      <c r="N215" s="106">
        <v>0</v>
      </c>
      <c r="O215" s="106">
        <v>0</v>
      </c>
      <c r="P215" s="106">
        <v>5</v>
      </c>
      <c r="Q215" s="106">
        <v>25</v>
      </c>
      <c r="R215" s="106">
        <v>0</v>
      </c>
      <c r="S21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30</v>
      </c>
      <c r="T215" s="120">
        <f>EDUVIAL_2023[[#This Row],[TOTAL SEXO]]</f>
        <v>30</v>
      </c>
      <c r="U215" s="106" t="s">
        <v>64</v>
      </c>
      <c r="V215" s="79" t="s">
        <v>65</v>
      </c>
      <c r="W215" s="125" t="s">
        <v>503</v>
      </c>
      <c r="X215" s="114" t="b">
        <f>EXACT(EDUVIAL_2023[[#This Row],[TOTAL SEXO]],EDUVIAL_2023[[#This Row],[TOTAL RANGOS]])</f>
        <v>1</v>
      </c>
      <c r="Y215" s="106"/>
    </row>
    <row r="216" spans="1:25" ht="28.9">
      <c r="A216" s="128">
        <v>45904</v>
      </c>
      <c r="B216" s="108" t="s">
        <v>495</v>
      </c>
      <c r="C216" s="104" t="s">
        <v>49</v>
      </c>
      <c r="D216" s="104" t="s">
        <v>89</v>
      </c>
      <c r="E216" s="121" t="s">
        <v>51</v>
      </c>
      <c r="F216" s="104" t="s">
        <v>79</v>
      </c>
      <c r="G216" s="121" t="s">
        <v>51</v>
      </c>
      <c r="H216" s="121" t="s">
        <v>505</v>
      </c>
      <c r="I216" s="104" t="s">
        <v>506</v>
      </c>
      <c r="J216" s="125">
        <v>4</v>
      </c>
      <c r="K216" s="125">
        <v>1</v>
      </c>
      <c r="L216" s="112">
        <f>EDUVIAL_2023[[#This Row],[HOMBRE]]+EDUVIAL_2023[[#This Row],[MUJER]]</f>
        <v>5</v>
      </c>
      <c r="M216" s="249">
        <v>0</v>
      </c>
      <c r="N216" s="106">
        <v>0</v>
      </c>
      <c r="O216" s="106">
        <v>0</v>
      </c>
      <c r="P216" s="106">
        <v>1</v>
      </c>
      <c r="Q216" s="106">
        <v>4</v>
      </c>
      <c r="R216" s="106">
        <v>0</v>
      </c>
      <c r="S21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5</v>
      </c>
      <c r="T216" s="120">
        <f>EDUVIAL_2023[[#This Row],[TOTAL SEXO]]</f>
        <v>5</v>
      </c>
      <c r="U216" s="106" t="s">
        <v>64</v>
      </c>
      <c r="V216" s="79" t="s">
        <v>65</v>
      </c>
      <c r="W216" s="125" t="s">
        <v>507</v>
      </c>
      <c r="X216" s="114" t="b">
        <f>EXACT(EDUVIAL_2023[[#This Row],[TOTAL SEXO]],EDUVIAL_2023[[#This Row],[TOTAL RANGOS]])</f>
        <v>1</v>
      </c>
      <c r="Y216" s="106"/>
    </row>
    <row r="217" spans="1:25" ht="28.9">
      <c r="A217" s="128">
        <v>45905</v>
      </c>
      <c r="B217" s="108" t="s">
        <v>495</v>
      </c>
      <c r="C217" s="104" t="s">
        <v>176</v>
      </c>
      <c r="D217" s="104" t="s">
        <v>226</v>
      </c>
      <c r="E217" s="121" t="s">
        <v>51</v>
      </c>
      <c r="F217" s="104" t="s">
        <v>43</v>
      </c>
      <c r="G217" s="121" t="s">
        <v>508</v>
      </c>
      <c r="H217" s="121" t="s">
        <v>340</v>
      </c>
      <c r="I217" s="104" t="s">
        <v>345</v>
      </c>
      <c r="J217" s="125">
        <v>18</v>
      </c>
      <c r="K217" s="125">
        <v>19</v>
      </c>
      <c r="L217" s="112">
        <f>EDUVIAL_2023[[#This Row],[HOMBRE]]+EDUVIAL_2023[[#This Row],[MUJER]]</f>
        <v>37</v>
      </c>
      <c r="M217" s="249">
        <v>0</v>
      </c>
      <c r="N217" s="106">
        <v>34</v>
      </c>
      <c r="O217" s="106">
        <v>0</v>
      </c>
      <c r="P217" s="106">
        <v>0</v>
      </c>
      <c r="Q217" s="106">
        <v>3</v>
      </c>
      <c r="R217" s="106">
        <v>0</v>
      </c>
      <c r="S21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37</v>
      </c>
      <c r="T217" s="120">
        <f>EDUVIAL_2023[[#This Row],[TOTAL SEXO]]</f>
        <v>37</v>
      </c>
      <c r="U217" s="106" t="str">
        <f>VLOOKUP(EDUVIAL_2023[[#This Row],[INSTITUCIÓN O EMPRESA]],LISTAS!$J$1:$M$85,3,0)</f>
        <v>Zona 9</v>
      </c>
      <c r="V217" s="106" t="str">
        <f>VLOOKUP(EDUVIAL_2023[[#This Row],[INSTITUCIÓN O EMPRESA]],LISTAS!$J$1:$M$85,4,0)</f>
        <v>Centro</v>
      </c>
      <c r="W217" s="125" t="str">
        <f>VLOOKUP(EDUVIAL_2023[[#This Row],[INSTITUCIÓN O EMPRESA]],LISTAS!$J$1:$M$85,2,0)</f>
        <v>6.168450558868997, -75.5896412723252</v>
      </c>
      <c r="X217" s="114" t="b">
        <f>EXACT(EDUVIAL_2023[[#This Row],[TOTAL SEXO]],EDUVIAL_2023[[#This Row],[TOTAL RANGOS]])</f>
        <v>1</v>
      </c>
      <c r="Y217" s="106"/>
    </row>
    <row r="218" spans="1:25" ht="28.9">
      <c r="A218" s="128">
        <v>45905</v>
      </c>
      <c r="B218" s="108" t="s">
        <v>495</v>
      </c>
      <c r="C218" s="104" t="s">
        <v>49</v>
      </c>
      <c r="D218" s="104" t="s">
        <v>50</v>
      </c>
      <c r="E218" s="121" t="s">
        <v>51</v>
      </c>
      <c r="F218" s="104" t="s">
        <v>79</v>
      </c>
      <c r="G218" s="121" t="s">
        <v>51</v>
      </c>
      <c r="H218" s="14" t="s">
        <v>483</v>
      </c>
      <c r="I218" s="104" t="s">
        <v>484</v>
      </c>
      <c r="J218" s="125">
        <v>22</v>
      </c>
      <c r="K218" s="125">
        <v>2</v>
      </c>
      <c r="L218" s="112">
        <f>EDUVIAL_2023[[#This Row],[HOMBRE]]+EDUVIAL_2023[[#This Row],[MUJER]]</f>
        <v>24</v>
      </c>
      <c r="M218" s="249">
        <v>0</v>
      </c>
      <c r="N218" s="106">
        <v>0</v>
      </c>
      <c r="O218" s="106">
        <v>0</v>
      </c>
      <c r="P218" s="106">
        <v>4</v>
      </c>
      <c r="Q218" s="106">
        <v>20</v>
      </c>
      <c r="R218" s="106">
        <v>0</v>
      </c>
      <c r="S218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24</v>
      </c>
      <c r="T218" s="120">
        <f>EDUVIAL_2023[[#This Row],[TOTAL SEXO]]</f>
        <v>24</v>
      </c>
      <c r="U218" s="106" t="s">
        <v>64</v>
      </c>
      <c r="V218" s="79" t="s">
        <v>65</v>
      </c>
      <c r="W218" s="125" t="s">
        <v>503</v>
      </c>
      <c r="X218" s="114" t="b">
        <f>EXACT(EDUVIAL_2023[[#This Row],[TOTAL SEXO]],EDUVIAL_2023[[#This Row],[TOTAL RANGOS]])</f>
        <v>1</v>
      </c>
      <c r="Y218" s="106"/>
    </row>
    <row r="219" spans="1:25" ht="43.15">
      <c r="A219" s="128">
        <v>45905</v>
      </c>
      <c r="B219" s="108" t="s">
        <v>495</v>
      </c>
      <c r="C219" s="104" t="s">
        <v>67</v>
      </c>
      <c r="D219" s="104" t="s">
        <v>254</v>
      </c>
      <c r="E219" s="121" t="s">
        <v>51</v>
      </c>
      <c r="F219" s="104" t="s">
        <v>43</v>
      </c>
      <c r="G219" s="210" t="s">
        <v>509</v>
      </c>
      <c r="H219" s="121" t="s">
        <v>404</v>
      </c>
      <c r="I219" s="104" t="s">
        <v>471</v>
      </c>
      <c r="J219" s="125">
        <v>745</v>
      </c>
      <c r="K219" s="125">
        <v>466</v>
      </c>
      <c r="L219" s="112">
        <f>EDUVIAL_2023[[#This Row],[HOMBRE]]+EDUVIAL_2023[[#This Row],[MUJER]]</f>
        <v>1211</v>
      </c>
      <c r="M219" s="249">
        <v>0</v>
      </c>
      <c r="N219" s="106">
        <v>515</v>
      </c>
      <c r="O219" s="106">
        <v>690</v>
      </c>
      <c r="P219" s="106">
        <v>3</v>
      </c>
      <c r="Q219" s="106">
        <v>3</v>
      </c>
      <c r="R219" s="106">
        <v>0</v>
      </c>
      <c r="S219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1211</v>
      </c>
      <c r="T219" s="120">
        <f>EDUVIAL_2023[[#This Row],[TOTAL SEXO]]</f>
        <v>1211</v>
      </c>
      <c r="U219" s="106" t="str">
        <f>VLOOKUP(EDUVIAL_2023[[#This Row],[INSTITUCIÓN O EMPRESA]],LISTAS!$J$1:$M$85,3,0)</f>
        <v>Zona 3</v>
      </c>
      <c r="V219" s="106" t="s">
        <v>406</v>
      </c>
      <c r="W219" s="125" t="str">
        <f>VLOOKUP(EDUVIAL_2023[[#This Row],[INSTITUCIÓN O EMPRESA]],LISTAS!$J$1:$M$85,2,0)</f>
        <v>6.180520, -75.580212</v>
      </c>
      <c r="X219" s="114" t="b">
        <f>EXACT(EDUVIAL_2023[[#This Row],[TOTAL SEXO]],EDUVIAL_2023[[#This Row],[TOTAL RANGOS]])</f>
        <v>1</v>
      </c>
      <c r="Y219" s="106"/>
    </row>
    <row r="220" spans="1:25" ht="28.9">
      <c r="A220" s="128">
        <v>45906</v>
      </c>
      <c r="B220" s="108" t="s">
        <v>495</v>
      </c>
      <c r="C220" s="104" t="s">
        <v>36</v>
      </c>
      <c r="D220" s="104" t="s">
        <v>217</v>
      </c>
      <c r="E220" s="121" t="s">
        <v>51</v>
      </c>
      <c r="F220" s="104" t="s">
        <v>43</v>
      </c>
      <c r="G220" s="121" t="s">
        <v>510</v>
      </c>
      <c r="H220" s="121" t="s">
        <v>511</v>
      </c>
      <c r="I220" s="104" t="s">
        <v>512</v>
      </c>
      <c r="J220" s="125">
        <v>49</v>
      </c>
      <c r="K220" s="125">
        <v>51</v>
      </c>
      <c r="L220" s="112">
        <f>EDUVIAL_2023[[#This Row],[HOMBRE]]+EDUVIAL_2023[[#This Row],[MUJER]]</f>
        <v>100</v>
      </c>
      <c r="M220" s="249">
        <v>0</v>
      </c>
      <c r="N220" s="106">
        <v>23</v>
      </c>
      <c r="O220" s="106">
        <v>0</v>
      </c>
      <c r="P220" s="106">
        <v>0</v>
      </c>
      <c r="Q220" s="106">
        <v>68</v>
      </c>
      <c r="R220" s="106">
        <v>9</v>
      </c>
      <c r="S220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100</v>
      </c>
      <c r="T220" s="120">
        <f>EDUVIAL_2023[[#This Row],[TOTAL SEXO]]</f>
        <v>100</v>
      </c>
      <c r="U220" s="106" t="s">
        <v>145</v>
      </c>
      <c r="V220" s="79" t="s">
        <v>146</v>
      </c>
      <c r="W220" s="125" t="s">
        <v>513</v>
      </c>
      <c r="X220" s="114" t="b">
        <f>EXACT(EDUVIAL_2023[[#This Row],[TOTAL SEXO]],EDUVIAL_2023[[#This Row],[TOTAL RANGOS]])</f>
        <v>1</v>
      </c>
      <c r="Y220" s="106"/>
    </row>
    <row r="221" spans="1:25" ht="28.9">
      <c r="A221" s="128">
        <v>45906</v>
      </c>
      <c r="B221" s="108" t="s">
        <v>495</v>
      </c>
      <c r="C221" s="104" t="s">
        <v>106</v>
      </c>
      <c r="D221" s="104" t="s">
        <v>368</v>
      </c>
      <c r="E221" s="121" t="s">
        <v>491</v>
      </c>
      <c r="F221" s="104" t="s">
        <v>43</v>
      </c>
      <c r="G221" s="121" t="s">
        <v>514</v>
      </c>
      <c r="H221" s="121" t="s">
        <v>340</v>
      </c>
      <c r="I221" s="104" t="s">
        <v>43</v>
      </c>
      <c r="J221" s="125"/>
      <c r="K221" s="125"/>
      <c r="L221" s="112">
        <f>EDUVIAL_2023[[#This Row],[HOMBRE]]+EDUVIAL_2023[[#This Row],[MUJER]]</f>
        <v>0</v>
      </c>
      <c r="M221" s="249"/>
      <c r="N221" s="106"/>
      <c r="O221" s="106"/>
      <c r="P221" s="106"/>
      <c r="Q221" s="106"/>
      <c r="R221" s="106"/>
      <c r="S221" s="211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0</v>
      </c>
      <c r="T221" s="120">
        <f>EDUVIAL_2023[[#This Row],[TOTAL SEXO]]</f>
        <v>0</v>
      </c>
      <c r="U221" s="106" t="str">
        <f>VLOOKUP(EDUVIAL_2023[[#This Row],[INSTITUCIÓN O EMPRESA]],LISTAS!$J$1:$M$85,3,0)</f>
        <v>Zona 9</v>
      </c>
      <c r="V221" s="106" t="str">
        <f>VLOOKUP(EDUVIAL_2023[[#This Row],[INSTITUCIÓN O EMPRESA]],LISTAS!$J$1:$M$85,4,0)</f>
        <v>Centro</v>
      </c>
      <c r="W221" s="125" t="str">
        <f>VLOOKUP(EDUVIAL_2023[[#This Row],[INSTITUCIÓN O EMPRESA]],LISTAS!$J$1:$M$85,2,0)</f>
        <v>6.168450558868997, -75.5896412723252</v>
      </c>
      <c r="X221" s="114" t="b">
        <f>EXACT(EDUVIAL_2023[[#This Row],[TOTAL SEXO]],EDUVIAL_2023[[#This Row],[TOTAL RANGOS]])</f>
        <v>1</v>
      </c>
      <c r="Y221" s="106"/>
    </row>
    <row r="222" spans="1:25" ht="28.9">
      <c r="A222" s="128">
        <v>45908</v>
      </c>
      <c r="B222" s="108" t="s">
        <v>495</v>
      </c>
      <c r="C222" s="104" t="s">
        <v>49</v>
      </c>
      <c r="D222" s="104" t="s">
        <v>89</v>
      </c>
      <c r="E222" s="121" t="s">
        <v>51</v>
      </c>
      <c r="F222" s="104" t="s">
        <v>79</v>
      </c>
      <c r="G222" s="121" t="s">
        <v>51</v>
      </c>
      <c r="H222" s="121" t="s">
        <v>515</v>
      </c>
      <c r="I222" s="104" t="s">
        <v>380</v>
      </c>
      <c r="J222" s="125">
        <v>32</v>
      </c>
      <c r="K222" s="125">
        <v>0</v>
      </c>
      <c r="L222" s="112">
        <f>EDUVIAL_2023[[#This Row],[HOMBRE]]+EDUVIAL_2023[[#This Row],[MUJER]]</f>
        <v>32</v>
      </c>
      <c r="M222" s="249">
        <v>0</v>
      </c>
      <c r="N222" s="106">
        <v>0</v>
      </c>
      <c r="O222" s="106">
        <v>0</v>
      </c>
      <c r="P222" s="106">
        <v>0</v>
      </c>
      <c r="Q222" s="106">
        <v>27</v>
      </c>
      <c r="R222" s="106">
        <v>5</v>
      </c>
      <c r="S222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32</v>
      </c>
      <c r="T222" s="120">
        <f>EDUVIAL_2023[[#This Row],[TOTAL SEXO]]</f>
        <v>32</v>
      </c>
      <c r="U222" s="79" t="s">
        <v>73</v>
      </c>
      <c r="V222" s="79" t="s">
        <v>74</v>
      </c>
      <c r="W222" s="125" t="s">
        <v>516</v>
      </c>
      <c r="X222" s="114" t="b">
        <f>EXACT(EDUVIAL_2023[[#This Row],[TOTAL SEXO]],EDUVIAL_2023[[#This Row],[TOTAL RANGOS]])</f>
        <v>1</v>
      </c>
      <c r="Y222" s="106"/>
    </row>
    <row r="223" spans="1:25" ht="28.9">
      <c r="A223" s="128">
        <v>45909</v>
      </c>
      <c r="B223" s="108" t="s">
        <v>495</v>
      </c>
      <c r="C223" s="104" t="s">
        <v>176</v>
      </c>
      <c r="D223" s="104" t="s">
        <v>226</v>
      </c>
      <c r="E223" s="121" t="s">
        <v>51</v>
      </c>
      <c r="F223" s="104" t="s">
        <v>346</v>
      </c>
      <c r="G223" s="121" t="s">
        <v>517</v>
      </c>
      <c r="H223" s="121" t="s">
        <v>340</v>
      </c>
      <c r="I223" s="104" t="s">
        <v>345</v>
      </c>
      <c r="J223" s="125">
        <v>20</v>
      </c>
      <c r="K223" s="125">
        <v>18</v>
      </c>
      <c r="L223" s="112">
        <f>EDUVIAL_2023[[#This Row],[HOMBRE]]+EDUVIAL_2023[[#This Row],[MUJER]]</f>
        <v>38</v>
      </c>
      <c r="M223" s="249">
        <v>0</v>
      </c>
      <c r="N223" s="106">
        <v>33</v>
      </c>
      <c r="O223" s="106">
        <v>0</v>
      </c>
      <c r="P223" s="106">
        <v>0</v>
      </c>
      <c r="Q223" s="106">
        <v>4</v>
      </c>
      <c r="R223" s="106">
        <v>1</v>
      </c>
      <c r="S223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38</v>
      </c>
      <c r="T223" s="120">
        <f>EDUVIAL_2023[[#This Row],[TOTAL SEXO]]</f>
        <v>38</v>
      </c>
      <c r="U223" s="106" t="str">
        <f>VLOOKUP(EDUVIAL_2023[[#This Row],[INSTITUCIÓN O EMPRESA]],LISTAS!$J$1:$M$85,3,0)</f>
        <v>Zona 9</v>
      </c>
      <c r="V223" s="106" t="str">
        <f>VLOOKUP(EDUVIAL_2023[[#This Row],[INSTITUCIÓN O EMPRESA]],LISTAS!$J$1:$M$85,4,0)</f>
        <v>Centro</v>
      </c>
      <c r="W223" s="125" t="str">
        <f>VLOOKUP(EDUVIAL_2023[[#This Row],[INSTITUCIÓN O EMPRESA]],LISTAS!$J$1:$M$85,2,0)</f>
        <v>6.168450558868997, -75.5896412723252</v>
      </c>
      <c r="X223" s="114" t="b">
        <f>EXACT(EDUVIAL_2023[[#This Row],[TOTAL SEXO]],EDUVIAL_2023[[#This Row],[TOTAL RANGOS]])</f>
        <v>1</v>
      </c>
      <c r="Y223" s="106"/>
    </row>
    <row r="224" spans="1:25" ht="28.9">
      <c r="A224" s="128">
        <v>45909</v>
      </c>
      <c r="B224" s="108" t="s">
        <v>495</v>
      </c>
      <c r="C224" s="104" t="s">
        <v>67</v>
      </c>
      <c r="D224" s="104" t="s">
        <v>101</v>
      </c>
      <c r="E224" s="121" t="s">
        <v>51</v>
      </c>
      <c r="F224" s="104" t="s">
        <v>43</v>
      </c>
      <c r="G224" s="192" t="s">
        <v>518</v>
      </c>
      <c r="H224" s="121" t="s">
        <v>476</v>
      </c>
      <c r="I224" s="104" t="s">
        <v>43</v>
      </c>
      <c r="J224" s="125">
        <v>3</v>
      </c>
      <c r="K224" s="125">
        <v>11</v>
      </c>
      <c r="L224" s="112">
        <f>EDUVIAL_2023[[#This Row],[HOMBRE]]+EDUVIAL_2023[[#This Row],[MUJER]]</f>
        <v>14</v>
      </c>
      <c r="M224" s="249">
        <v>0</v>
      </c>
      <c r="N224" s="106">
        <v>0</v>
      </c>
      <c r="O224" s="106">
        <v>0</v>
      </c>
      <c r="P224" s="106">
        <v>2</v>
      </c>
      <c r="Q224" s="106">
        <v>12</v>
      </c>
      <c r="R224" s="106"/>
      <c r="S22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14</v>
      </c>
      <c r="T224" s="120">
        <f>EDUVIAL_2023[[#This Row],[TOTAL SEXO]]</f>
        <v>14</v>
      </c>
      <c r="U224" s="106" t="str">
        <f>VLOOKUP(EDUVIAL_2023[[#This Row],[INSTITUCIÓN O EMPRESA]],LISTAS!$J$1:$M$85,3,0)</f>
        <v>Zona 7</v>
      </c>
      <c r="V224" s="106" t="str">
        <f>VLOOKUP(EDUVIAL_2023[[#This Row],[INSTITUCIÓN O EMPRESA]],LISTAS!$J$1:$M$85,4,0)</f>
        <v>El Dorado</v>
      </c>
      <c r="W224" s="125" t="str">
        <f>VLOOKUP(EDUVIAL_2023[[#This Row],[INSTITUCIÓN O EMPRESA]],LISTAS!$J$1:$M$85,2,0)</f>
        <v>6.165060, -75.590946</v>
      </c>
      <c r="X224" s="114" t="b">
        <f>EXACT(EDUVIAL_2023[[#This Row],[TOTAL SEXO]],EDUVIAL_2023[[#This Row],[TOTAL RANGOS]])</f>
        <v>1</v>
      </c>
      <c r="Y224" s="106"/>
    </row>
    <row r="225" spans="1:25">
      <c r="A225" s="128">
        <v>45909</v>
      </c>
      <c r="B225" s="108" t="s">
        <v>495</v>
      </c>
      <c r="C225" s="104" t="s">
        <v>36</v>
      </c>
      <c r="D225" s="104" t="s">
        <v>37</v>
      </c>
      <c r="E225" s="121" t="s">
        <v>38</v>
      </c>
      <c r="F225" s="104" t="s">
        <v>43</v>
      </c>
      <c r="G225" s="121" t="s">
        <v>519</v>
      </c>
      <c r="H225" s="121" t="s">
        <v>340</v>
      </c>
      <c r="I225" s="104" t="s">
        <v>520</v>
      </c>
      <c r="J225" s="125">
        <v>1</v>
      </c>
      <c r="K225" s="125">
        <v>0</v>
      </c>
      <c r="L225" s="112">
        <f>EDUVIAL_2023[[#This Row],[HOMBRE]]+EDUVIAL_2023[[#This Row],[MUJER]]</f>
        <v>1</v>
      </c>
      <c r="M225" s="249">
        <v>0</v>
      </c>
      <c r="N225" s="106">
        <v>0</v>
      </c>
      <c r="O225" s="106">
        <v>0</v>
      </c>
      <c r="P225" s="106">
        <v>0</v>
      </c>
      <c r="Q225" s="106">
        <v>1</v>
      </c>
      <c r="R225" s="106">
        <v>0</v>
      </c>
      <c r="S22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225" s="120">
        <f>EDUVIAL_2023[[#This Row],[TOTAL SEXO]]</f>
        <v>1</v>
      </c>
      <c r="U225" s="106" t="str">
        <f>VLOOKUP(EDUVIAL_2023[[#This Row],[INSTITUCIÓN O EMPRESA]],LISTAS!$J$1:$M$85,3,0)</f>
        <v>Zona 9</v>
      </c>
      <c r="V225" s="106" t="str">
        <f>VLOOKUP(EDUVIAL_2023[[#This Row],[INSTITUCIÓN O EMPRESA]],LISTAS!$J$1:$M$85,4,0)</f>
        <v>Centro</v>
      </c>
      <c r="W225" s="125" t="str">
        <f>VLOOKUP(EDUVIAL_2023[[#This Row],[INSTITUCIÓN O EMPRESA]],LISTAS!$J$1:$M$85,2,0)</f>
        <v>6.168450558868997, -75.5896412723252</v>
      </c>
      <c r="X225" s="114" t="b">
        <f>EXACT(EDUVIAL_2023[[#This Row],[TOTAL SEXO]],EDUVIAL_2023[[#This Row],[TOTAL RANGOS]])</f>
        <v>1</v>
      </c>
      <c r="Y225" s="106"/>
    </row>
    <row r="226" spans="1:25" ht="28.9">
      <c r="A226" s="128">
        <v>45910</v>
      </c>
      <c r="B226" s="108" t="s">
        <v>495</v>
      </c>
      <c r="C226" s="104" t="s">
        <v>176</v>
      </c>
      <c r="D226" s="104" t="s">
        <v>226</v>
      </c>
      <c r="E226" s="121" t="s">
        <v>51</v>
      </c>
      <c r="F226" s="104" t="s">
        <v>43</v>
      </c>
      <c r="G226" s="121" t="s">
        <v>504</v>
      </c>
      <c r="H226" s="121" t="s">
        <v>340</v>
      </c>
      <c r="I226" s="104" t="s">
        <v>345</v>
      </c>
      <c r="J226" s="125">
        <v>18</v>
      </c>
      <c r="K226" s="125">
        <v>34</v>
      </c>
      <c r="L226" s="112">
        <f>EDUVIAL_2023[[#This Row],[HOMBRE]]+EDUVIAL_2023[[#This Row],[MUJER]]</f>
        <v>52</v>
      </c>
      <c r="M226" s="249">
        <v>0</v>
      </c>
      <c r="N226" s="106">
        <v>50</v>
      </c>
      <c r="O226" s="106">
        <v>0</v>
      </c>
      <c r="P226" s="106">
        <v>0</v>
      </c>
      <c r="Q226" s="106">
        <v>2</v>
      </c>
      <c r="R226" s="106">
        <v>0</v>
      </c>
      <c r="S22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52</v>
      </c>
      <c r="T226" s="120">
        <f>EDUVIAL_2023[[#This Row],[TOTAL SEXO]]</f>
        <v>52</v>
      </c>
      <c r="U226" s="106" t="str">
        <f>VLOOKUP(EDUVIAL_2023[[#This Row],[INSTITUCIÓN O EMPRESA]],LISTAS!$J$1:$M$85,3,0)</f>
        <v>Zona 9</v>
      </c>
      <c r="V226" s="106" t="str">
        <f>VLOOKUP(EDUVIAL_2023[[#This Row],[INSTITUCIÓN O EMPRESA]],LISTAS!$J$1:$M$85,4,0)</f>
        <v>Centro</v>
      </c>
      <c r="W226" s="125" t="str">
        <f>VLOOKUP(EDUVIAL_2023[[#This Row],[INSTITUCIÓN O EMPRESA]],LISTAS!$J$1:$M$85,2,0)</f>
        <v>6.168450558868997, -75.5896412723252</v>
      </c>
      <c r="X226" s="114" t="b">
        <f>EXACT(EDUVIAL_2023[[#This Row],[TOTAL SEXO]],EDUVIAL_2023[[#This Row],[TOTAL RANGOS]])</f>
        <v>1</v>
      </c>
      <c r="Y226" s="106"/>
    </row>
    <row r="227" spans="1:25" ht="28.9">
      <c r="A227" s="128">
        <v>45910</v>
      </c>
      <c r="B227" s="108" t="s">
        <v>495</v>
      </c>
      <c r="C227" s="104" t="s">
        <v>67</v>
      </c>
      <c r="D227" s="104" t="s">
        <v>101</v>
      </c>
      <c r="E227" s="121" t="s">
        <v>51</v>
      </c>
      <c r="F227" s="104" t="s">
        <v>43</v>
      </c>
      <c r="G227" s="192" t="s">
        <v>518</v>
      </c>
      <c r="H227" s="121" t="s">
        <v>476</v>
      </c>
      <c r="I227" s="104" t="s">
        <v>345</v>
      </c>
      <c r="J227" s="125">
        <v>2</v>
      </c>
      <c r="K227" s="125">
        <v>17</v>
      </c>
      <c r="L227" s="112">
        <f>EDUVIAL_2023[[#This Row],[HOMBRE]]+EDUVIAL_2023[[#This Row],[MUJER]]</f>
        <v>19</v>
      </c>
      <c r="M227" s="249">
        <v>0</v>
      </c>
      <c r="N227" s="106">
        <v>0</v>
      </c>
      <c r="O227" s="106">
        <v>0</v>
      </c>
      <c r="P227" s="106">
        <v>0</v>
      </c>
      <c r="Q227" s="106">
        <v>17</v>
      </c>
      <c r="R227" s="106">
        <v>2</v>
      </c>
      <c r="S22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19</v>
      </c>
      <c r="T227" s="120">
        <f>EDUVIAL_2023[[#This Row],[TOTAL SEXO]]</f>
        <v>19</v>
      </c>
      <c r="U227" s="106" t="str">
        <f>VLOOKUP(EDUVIAL_2023[[#This Row],[INSTITUCIÓN O EMPRESA]],LISTAS!$J$1:$M$85,3,0)</f>
        <v>Zona 7</v>
      </c>
      <c r="V227" s="106" t="str">
        <f>VLOOKUP(EDUVIAL_2023[[#This Row],[INSTITUCIÓN O EMPRESA]],LISTAS!$J$1:$M$85,4,0)</f>
        <v>El Dorado</v>
      </c>
      <c r="W227" s="125" t="str">
        <f>VLOOKUP(EDUVIAL_2023[[#This Row],[INSTITUCIÓN O EMPRESA]],LISTAS!$J$1:$M$85,2,0)</f>
        <v>6.165060, -75.590946</v>
      </c>
      <c r="X227" s="114" t="b">
        <f>EXACT(EDUVIAL_2023[[#This Row],[TOTAL SEXO]],EDUVIAL_2023[[#This Row],[TOTAL RANGOS]])</f>
        <v>1</v>
      </c>
      <c r="Y227" s="106"/>
    </row>
    <row r="228" spans="1:25">
      <c r="A228" s="128">
        <v>45910</v>
      </c>
      <c r="B228" s="108" t="s">
        <v>495</v>
      </c>
      <c r="C228" s="104" t="s">
        <v>49</v>
      </c>
      <c r="D228" s="104" t="s">
        <v>89</v>
      </c>
      <c r="E228" s="121" t="s">
        <v>69</v>
      </c>
      <c r="F228" s="104" t="s">
        <v>79</v>
      </c>
      <c r="G228" s="121" t="s">
        <v>521</v>
      </c>
      <c r="H228" s="121" t="s">
        <v>522</v>
      </c>
      <c r="I228" s="104" t="s">
        <v>523</v>
      </c>
      <c r="J228" s="125">
        <v>0</v>
      </c>
      <c r="K228" s="125">
        <v>2</v>
      </c>
      <c r="L228" s="112">
        <f>EDUVIAL_2023[[#This Row],[HOMBRE]]+EDUVIAL_2023[[#This Row],[MUJER]]</f>
        <v>2</v>
      </c>
      <c r="M228" s="249">
        <v>0</v>
      </c>
      <c r="N228" s="106">
        <v>0</v>
      </c>
      <c r="O228" s="106">
        <v>0</v>
      </c>
      <c r="P228" s="106">
        <v>1</v>
      </c>
      <c r="Q228" s="106">
        <v>1</v>
      </c>
      <c r="R228" s="106">
        <v>0</v>
      </c>
      <c r="S228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</v>
      </c>
      <c r="T228" s="120">
        <f>EDUVIAL_2023[[#This Row],[TOTAL SEXO]]</f>
        <v>2</v>
      </c>
      <c r="U228" s="106" t="s">
        <v>33</v>
      </c>
      <c r="V228" s="106" t="s">
        <v>34</v>
      </c>
      <c r="W228" s="125" t="s">
        <v>524</v>
      </c>
      <c r="X228" s="114" t="b">
        <f>EXACT(EDUVIAL_2023[[#This Row],[TOTAL SEXO]],EDUVIAL_2023[[#This Row],[TOTAL RANGOS]])</f>
        <v>1</v>
      </c>
      <c r="Y228" s="106"/>
    </row>
    <row r="229" spans="1:25" ht="28.9">
      <c r="A229" s="128">
        <v>45910</v>
      </c>
      <c r="B229" s="108" t="s">
        <v>495</v>
      </c>
      <c r="C229" s="104" t="s">
        <v>49</v>
      </c>
      <c r="D229" s="104" t="s">
        <v>89</v>
      </c>
      <c r="E229" s="121" t="s">
        <v>51</v>
      </c>
      <c r="F229" s="104" t="s">
        <v>79</v>
      </c>
      <c r="G229" s="121" t="s">
        <v>51</v>
      </c>
      <c r="H229" s="121" t="s">
        <v>525</v>
      </c>
      <c r="I229" s="104" t="s">
        <v>526</v>
      </c>
      <c r="J229" s="125">
        <v>3</v>
      </c>
      <c r="K229" s="125">
        <v>15</v>
      </c>
      <c r="L229" s="112">
        <f>EDUVIAL_2023[[#This Row],[HOMBRE]]+EDUVIAL_2023[[#This Row],[MUJER]]</f>
        <v>18</v>
      </c>
      <c r="M229" s="249">
        <v>0</v>
      </c>
      <c r="N229" s="106">
        <v>0</v>
      </c>
      <c r="O229" s="106">
        <v>0</v>
      </c>
      <c r="P229" s="106">
        <v>4</v>
      </c>
      <c r="Q229" s="106">
        <v>14</v>
      </c>
      <c r="R229" s="106">
        <v>0</v>
      </c>
      <c r="S229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18</v>
      </c>
      <c r="T229" s="120">
        <f>EDUVIAL_2023[[#This Row],[TOTAL SEXO]]</f>
        <v>18</v>
      </c>
      <c r="U229" s="106" t="s">
        <v>33</v>
      </c>
      <c r="V229" s="106" t="s">
        <v>34</v>
      </c>
      <c r="W229" s="125" t="s">
        <v>527</v>
      </c>
      <c r="X229" s="114" t="b">
        <f>EXACT(EDUVIAL_2023[[#This Row],[TOTAL SEXO]],EDUVIAL_2023[[#This Row],[TOTAL RANGOS]])</f>
        <v>1</v>
      </c>
      <c r="Y229" s="106"/>
    </row>
    <row r="230" spans="1:25">
      <c r="A230" s="128">
        <v>45910</v>
      </c>
      <c r="B230" s="108" t="s">
        <v>495</v>
      </c>
      <c r="C230" s="104" t="s">
        <v>106</v>
      </c>
      <c r="D230" s="104" t="s">
        <v>368</v>
      </c>
      <c r="E230" s="121" t="s">
        <v>491</v>
      </c>
      <c r="F230" s="104" t="s">
        <v>43</v>
      </c>
      <c r="G230" s="121" t="s">
        <v>528</v>
      </c>
      <c r="H230" s="23" t="s">
        <v>260</v>
      </c>
      <c r="I230" s="104" t="s">
        <v>43</v>
      </c>
      <c r="J230" s="125"/>
      <c r="K230" s="125"/>
      <c r="L230" s="112">
        <f>EDUVIAL_2023[[#This Row],[HOMBRE]]+EDUVIAL_2023[[#This Row],[MUJER]]</f>
        <v>0</v>
      </c>
      <c r="M230" s="249"/>
      <c r="N230" s="106"/>
      <c r="O230" s="106"/>
      <c r="P230" s="106"/>
      <c r="Q230" s="106"/>
      <c r="R230" s="106"/>
      <c r="S230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0</v>
      </c>
      <c r="T230" s="120">
        <f>EDUVIAL_2023[[#This Row],[TOTAL SEXO]]</f>
        <v>0</v>
      </c>
      <c r="U230" s="79" t="s">
        <v>73</v>
      </c>
      <c r="V230" s="79" t="s">
        <v>74</v>
      </c>
      <c r="W230" s="125" t="s">
        <v>529</v>
      </c>
      <c r="X230" s="114" t="b">
        <f>EXACT(EDUVIAL_2023[[#This Row],[TOTAL SEXO]],EDUVIAL_2023[[#This Row],[TOTAL RANGOS]])</f>
        <v>1</v>
      </c>
      <c r="Y230" s="106"/>
    </row>
    <row r="231" spans="1:25" ht="28.9">
      <c r="A231" s="128">
        <v>45911</v>
      </c>
      <c r="B231" s="108" t="s">
        <v>495</v>
      </c>
      <c r="C231" s="104" t="s">
        <v>49</v>
      </c>
      <c r="D231" s="104" t="s">
        <v>89</v>
      </c>
      <c r="E231" s="121" t="s">
        <v>51</v>
      </c>
      <c r="F231" s="104" t="s">
        <v>79</v>
      </c>
      <c r="G231" s="121" t="s">
        <v>51</v>
      </c>
      <c r="H231" s="121" t="s">
        <v>525</v>
      </c>
      <c r="I231" s="104" t="s">
        <v>526</v>
      </c>
      <c r="J231" s="125">
        <v>14</v>
      </c>
      <c r="K231" s="125">
        <v>0</v>
      </c>
      <c r="L231" s="112">
        <f>EDUVIAL_2023[[#This Row],[HOMBRE]]+EDUVIAL_2023[[#This Row],[MUJER]]</f>
        <v>14</v>
      </c>
      <c r="M231" s="249">
        <v>0</v>
      </c>
      <c r="N231" s="106">
        <v>0</v>
      </c>
      <c r="O231" s="106">
        <v>0</v>
      </c>
      <c r="P231" s="106">
        <v>1</v>
      </c>
      <c r="Q231" s="106">
        <v>12</v>
      </c>
      <c r="R231" s="106">
        <v>1</v>
      </c>
      <c r="S231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14</v>
      </c>
      <c r="T231" s="120">
        <f>EDUVIAL_2023[[#This Row],[TOTAL SEXO]]</f>
        <v>14</v>
      </c>
      <c r="U231" s="106" t="s">
        <v>33</v>
      </c>
      <c r="V231" s="106" t="s">
        <v>34</v>
      </c>
      <c r="W231" s="125" t="s">
        <v>527</v>
      </c>
      <c r="X231" s="114" t="b">
        <f>EXACT(EDUVIAL_2023[[#This Row],[TOTAL SEXO]],EDUVIAL_2023[[#This Row],[TOTAL RANGOS]])</f>
        <v>1</v>
      </c>
      <c r="Y231" s="106"/>
    </row>
    <row r="232" spans="1:25">
      <c r="A232" s="128">
        <v>45912</v>
      </c>
      <c r="B232" s="108" t="s">
        <v>495</v>
      </c>
      <c r="C232" s="104" t="s">
        <v>106</v>
      </c>
      <c r="D232" s="104" t="s">
        <v>368</v>
      </c>
      <c r="E232" s="121" t="s">
        <v>491</v>
      </c>
      <c r="F232" s="104" t="s">
        <v>43</v>
      </c>
      <c r="G232" s="121" t="s">
        <v>530</v>
      </c>
      <c r="H232" s="121" t="s">
        <v>531</v>
      </c>
      <c r="I232" s="104" t="s">
        <v>43</v>
      </c>
      <c r="J232" s="125"/>
      <c r="K232" s="125"/>
      <c r="L232" s="112">
        <f>EDUVIAL_2023[[#This Row],[HOMBRE]]+EDUVIAL_2023[[#This Row],[MUJER]]</f>
        <v>0</v>
      </c>
      <c r="M232" s="249"/>
      <c r="N232" s="106"/>
      <c r="O232" s="106"/>
      <c r="P232" s="106"/>
      <c r="Q232" s="106"/>
      <c r="R232" s="106"/>
      <c r="S232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0</v>
      </c>
      <c r="T232" s="120">
        <f>EDUVIAL_2023[[#This Row],[TOTAL SEXO]]</f>
        <v>0</v>
      </c>
      <c r="U232" s="79" t="s">
        <v>73</v>
      </c>
      <c r="V232" s="79" t="s">
        <v>74</v>
      </c>
      <c r="W232" s="125" t="s">
        <v>529</v>
      </c>
      <c r="X232" s="114" t="b">
        <f>EXACT(EDUVIAL_2023[[#This Row],[TOTAL SEXO]],EDUVIAL_2023[[#This Row],[TOTAL RANGOS]])</f>
        <v>1</v>
      </c>
      <c r="Y232" s="106"/>
    </row>
    <row r="233" spans="1:25" ht="43.15">
      <c r="A233" s="128">
        <v>45913</v>
      </c>
      <c r="B233" s="108" t="s">
        <v>495</v>
      </c>
      <c r="C233" s="104" t="s">
        <v>36</v>
      </c>
      <c r="D233" s="104" t="s">
        <v>217</v>
      </c>
      <c r="E233" s="121" t="s">
        <v>274</v>
      </c>
      <c r="F233" s="104" t="s">
        <v>346</v>
      </c>
      <c r="G233" s="121" t="s">
        <v>532</v>
      </c>
      <c r="H233" s="121" t="s">
        <v>533</v>
      </c>
      <c r="I233" s="104" t="s">
        <v>29</v>
      </c>
      <c r="J233" s="125">
        <v>28</v>
      </c>
      <c r="K233" s="125">
        <v>22</v>
      </c>
      <c r="L233" s="112">
        <f>EDUVIAL_2023[[#This Row],[HOMBRE]]+EDUVIAL_2023[[#This Row],[MUJER]]</f>
        <v>50</v>
      </c>
      <c r="M233" s="249">
        <v>0</v>
      </c>
      <c r="N233" s="106">
        <v>5</v>
      </c>
      <c r="O233" s="106">
        <v>0</v>
      </c>
      <c r="P233" s="106">
        <v>0</v>
      </c>
      <c r="Q233" s="106">
        <v>38</v>
      </c>
      <c r="R233" s="106">
        <v>7</v>
      </c>
      <c r="S233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50</v>
      </c>
      <c r="T233" s="120">
        <f>EDUVIAL_2023[[#This Row],[TOTAL SEXO]]</f>
        <v>50</v>
      </c>
      <c r="U233" s="106" t="s">
        <v>132</v>
      </c>
      <c r="V233" s="106" t="s">
        <v>534</v>
      </c>
      <c r="W233" s="125" t="s">
        <v>535</v>
      </c>
      <c r="X233" s="114" t="b">
        <f>EXACT(EDUVIAL_2023[[#This Row],[TOTAL SEXO]],EDUVIAL_2023[[#This Row],[TOTAL RANGOS]])</f>
        <v>1</v>
      </c>
      <c r="Y233" s="106"/>
    </row>
    <row r="234" spans="1:25" ht="28.9">
      <c r="A234" s="128">
        <v>45913</v>
      </c>
      <c r="B234" s="108" t="s">
        <v>495</v>
      </c>
      <c r="C234" s="104" t="s">
        <v>106</v>
      </c>
      <c r="D234" s="104" t="s">
        <v>368</v>
      </c>
      <c r="E234" s="121" t="s">
        <v>491</v>
      </c>
      <c r="F234" s="104" t="s">
        <v>43</v>
      </c>
      <c r="G234" s="121" t="s">
        <v>514</v>
      </c>
      <c r="H234" s="121" t="s">
        <v>340</v>
      </c>
      <c r="I234" s="104" t="s">
        <v>43</v>
      </c>
      <c r="J234" s="125"/>
      <c r="K234" s="125"/>
      <c r="L234" s="112">
        <f>EDUVIAL_2023[[#This Row],[HOMBRE]]+EDUVIAL_2023[[#This Row],[MUJER]]</f>
        <v>0</v>
      </c>
      <c r="M234" s="249"/>
      <c r="N234" s="106"/>
      <c r="O234" s="106"/>
      <c r="P234" s="106"/>
      <c r="Q234" s="106"/>
      <c r="R234" s="106"/>
      <c r="S23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0</v>
      </c>
      <c r="T234" s="120">
        <f>EDUVIAL_2023[[#This Row],[TOTAL SEXO]]</f>
        <v>0</v>
      </c>
      <c r="U234" s="106" t="s">
        <v>33</v>
      </c>
      <c r="V234" s="106" t="s">
        <v>34</v>
      </c>
      <c r="W234" s="125" t="s">
        <v>527</v>
      </c>
      <c r="X234" s="114" t="b">
        <f>EXACT(EDUVIAL_2023[[#This Row],[TOTAL SEXO]],EDUVIAL_2023[[#This Row],[TOTAL RANGOS]])</f>
        <v>1</v>
      </c>
      <c r="Y234" s="106"/>
    </row>
    <row r="235" spans="1:25" ht="28.9">
      <c r="A235" s="128">
        <v>45915</v>
      </c>
      <c r="B235" s="108" t="s">
        <v>495</v>
      </c>
      <c r="C235" s="104" t="s">
        <v>49</v>
      </c>
      <c r="D235" s="104" t="s">
        <v>89</v>
      </c>
      <c r="E235" s="121" t="s">
        <v>51</v>
      </c>
      <c r="F235" s="104" t="s">
        <v>79</v>
      </c>
      <c r="G235" s="121" t="s">
        <v>51</v>
      </c>
      <c r="H235" s="121" t="s">
        <v>536</v>
      </c>
      <c r="I235" s="104" t="s">
        <v>523</v>
      </c>
      <c r="J235" s="125">
        <v>6</v>
      </c>
      <c r="K235" s="125">
        <v>0</v>
      </c>
      <c r="L235" s="112">
        <f>EDUVIAL_2023[[#This Row],[HOMBRE]]+EDUVIAL_2023[[#This Row],[MUJER]]</f>
        <v>6</v>
      </c>
      <c r="M235" s="249">
        <v>0</v>
      </c>
      <c r="N235" s="106">
        <v>0</v>
      </c>
      <c r="O235" s="106">
        <v>0</v>
      </c>
      <c r="P235" s="106">
        <v>1</v>
      </c>
      <c r="Q235" s="106">
        <v>5</v>
      </c>
      <c r="R235" s="106">
        <v>0</v>
      </c>
      <c r="S23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6</v>
      </c>
      <c r="T235" s="120">
        <f>EDUVIAL_2023[[#This Row],[TOTAL SEXO]]</f>
        <v>6</v>
      </c>
      <c r="U235" s="106" t="s">
        <v>33</v>
      </c>
      <c r="V235" s="106" t="s">
        <v>34</v>
      </c>
      <c r="W235" s="125" t="s">
        <v>524</v>
      </c>
      <c r="X235" s="114" t="b">
        <f>EXACT(EDUVIAL_2023[[#This Row],[TOTAL SEXO]],EDUVIAL_2023[[#This Row],[TOTAL RANGOS]])</f>
        <v>1</v>
      </c>
      <c r="Y235" s="106"/>
    </row>
    <row r="236" spans="1:25" ht="43.15">
      <c r="A236" s="128">
        <v>45915</v>
      </c>
      <c r="B236" s="108" t="s">
        <v>495</v>
      </c>
      <c r="C236" s="104" t="s">
        <v>176</v>
      </c>
      <c r="D236" s="104" t="s">
        <v>226</v>
      </c>
      <c r="E236" s="121" t="s">
        <v>51</v>
      </c>
      <c r="F236" s="104" t="s">
        <v>43</v>
      </c>
      <c r="G236" s="121" t="s">
        <v>537</v>
      </c>
      <c r="H236" s="121" t="s">
        <v>340</v>
      </c>
      <c r="I236" s="104" t="s">
        <v>538</v>
      </c>
      <c r="J236" s="125">
        <v>21</v>
      </c>
      <c r="K236" s="125">
        <v>29</v>
      </c>
      <c r="L236" s="112">
        <f>EDUVIAL_2023[[#This Row],[HOMBRE]]+EDUVIAL_2023[[#This Row],[MUJER]]</f>
        <v>50</v>
      </c>
      <c r="M236" s="249">
        <v>0</v>
      </c>
      <c r="N236" s="106">
        <v>48</v>
      </c>
      <c r="O236" s="106">
        <v>0</v>
      </c>
      <c r="P236" s="106">
        <v>0</v>
      </c>
      <c r="Q236" s="106">
        <v>2</v>
      </c>
      <c r="R236" s="106">
        <v>0</v>
      </c>
      <c r="S23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50</v>
      </c>
      <c r="T236" s="120">
        <f>EDUVIAL_2023[[#This Row],[TOTAL SEXO]]</f>
        <v>50</v>
      </c>
      <c r="U236" s="106" t="str">
        <f>VLOOKUP(EDUVIAL_2023[[#This Row],[INSTITUCIÓN O EMPRESA]],LISTAS!$J$1:$M$85,3,0)</f>
        <v>Zona 9</v>
      </c>
      <c r="V236" s="106" t="str">
        <f>VLOOKUP(EDUVIAL_2023[[#This Row],[INSTITUCIÓN O EMPRESA]],LISTAS!$J$1:$M$85,4,0)</f>
        <v>Centro</v>
      </c>
      <c r="W236" s="125" t="str">
        <f>VLOOKUP(EDUVIAL_2023[[#This Row],[INSTITUCIÓN O EMPRESA]],LISTAS!$J$1:$M$85,2,0)</f>
        <v>6.168450558868997, -75.5896412723252</v>
      </c>
      <c r="X236" s="114" t="b">
        <f>EXACT(EDUVIAL_2023[[#This Row],[TOTAL SEXO]],EDUVIAL_2023[[#This Row],[TOTAL RANGOS]])</f>
        <v>1</v>
      </c>
      <c r="Y236" s="106"/>
    </row>
    <row r="237" spans="1:25" ht="28.9">
      <c r="A237" s="128">
        <v>45916</v>
      </c>
      <c r="B237" s="108" t="s">
        <v>495</v>
      </c>
      <c r="C237" s="104" t="s">
        <v>176</v>
      </c>
      <c r="D237" s="104" t="s">
        <v>226</v>
      </c>
      <c r="E237" s="121" t="s">
        <v>51</v>
      </c>
      <c r="F237" s="104" t="s">
        <v>346</v>
      </c>
      <c r="G237" s="121" t="s">
        <v>539</v>
      </c>
      <c r="H237" s="121" t="s">
        <v>340</v>
      </c>
      <c r="I237" s="104" t="s">
        <v>540</v>
      </c>
      <c r="J237" s="125">
        <v>153</v>
      </c>
      <c r="K237" s="125">
        <v>160</v>
      </c>
      <c r="L237" s="112">
        <f>EDUVIAL_2023[[#This Row],[HOMBRE]]+EDUVIAL_2023[[#This Row],[MUJER]]</f>
        <v>313</v>
      </c>
      <c r="M237" s="249">
        <v>17</v>
      </c>
      <c r="N237" s="106">
        <v>288</v>
      </c>
      <c r="O237" s="106">
        <v>0</v>
      </c>
      <c r="P237" s="106">
        <v>0</v>
      </c>
      <c r="Q237" s="106">
        <v>7</v>
      </c>
      <c r="R237" s="106">
        <v>1</v>
      </c>
      <c r="S23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313</v>
      </c>
      <c r="T237" s="120">
        <f>EDUVIAL_2023[[#This Row],[TOTAL SEXO]]</f>
        <v>313</v>
      </c>
      <c r="U237" s="106" t="str">
        <f>VLOOKUP(EDUVIAL_2023[[#This Row],[INSTITUCIÓN O EMPRESA]],LISTAS!$J$1:$M$85,3,0)</f>
        <v>Zona 9</v>
      </c>
      <c r="V237" s="106" t="str">
        <f>VLOOKUP(EDUVIAL_2023[[#This Row],[INSTITUCIÓN O EMPRESA]],LISTAS!$J$1:$M$85,4,0)</f>
        <v>Centro</v>
      </c>
      <c r="W237" s="125" t="str">
        <f>VLOOKUP(EDUVIAL_2023[[#This Row],[INSTITUCIÓN O EMPRESA]],LISTAS!$J$1:$M$85,2,0)</f>
        <v>6.168450558868997, -75.5896412723252</v>
      </c>
      <c r="X237" s="114" t="b">
        <f>EXACT(EDUVIAL_2023[[#This Row],[TOTAL SEXO]],EDUVIAL_2023[[#This Row],[TOTAL RANGOS]])</f>
        <v>1</v>
      </c>
      <c r="Y237" s="106"/>
    </row>
    <row r="238" spans="1:25" ht="28.9">
      <c r="A238" s="128">
        <v>45916</v>
      </c>
      <c r="B238" s="108" t="s">
        <v>495</v>
      </c>
      <c r="C238" s="104" t="s">
        <v>176</v>
      </c>
      <c r="D238" s="104" t="s">
        <v>226</v>
      </c>
      <c r="E238" s="121" t="s">
        <v>51</v>
      </c>
      <c r="F238" s="104" t="s">
        <v>43</v>
      </c>
      <c r="G238" s="121" t="s">
        <v>541</v>
      </c>
      <c r="H238" s="121" t="s">
        <v>340</v>
      </c>
      <c r="I238" s="104" t="s">
        <v>434</v>
      </c>
      <c r="J238" s="125">
        <v>21</v>
      </c>
      <c r="K238" s="125">
        <v>29</v>
      </c>
      <c r="L238" s="112">
        <f>EDUVIAL_2023[[#This Row],[HOMBRE]]+EDUVIAL_2023[[#This Row],[MUJER]]</f>
        <v>50</v>
      </c>
      <c r="M238" s="249">
        <v>0</v>
      </c>
      <c r="N238" s="106">
        <v>48</v>
      </c>
      <c r="O238" s="106">
        <v>0</v>
      </c>
      <c r="P238" s="106">
        <v>0</v>
      </c>
      <c r="Q238" s="106">
        <v>2</v>
      </c>
      <c r="R238" s="106">
        <v>0</v>
      </c>
      <c r="S238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50</v>
      </c>
      <c r="T238" s="120">
        <f>EDUVIAL_2023[[#This Row],[TOTAL SEXO]]</f>
        <v>50</v>
      </c>
      <c r="U238" s="106" t="str">
        <f>VLOOKUP(EDUVIAL_2023[[#This Row],[INSTITUCIÓN O EMPRESA]],LISTAS!$J$1:$M$85,3,0)</f>
        <v>Zona 9</v>
      </c>
      <c r="V238" s="106" t="str">
        <f>VLOOKUP(EDUVIAL_2023[[#This Row],[INSTITUCIÓN O EMPRESA]],LISTAS!$J$1:$M$85,4,0)</f>
        <v>Centro</v>
      </c>
      <c r="W238" s="125" t="str">
        <f>VLOOKUP(EDUVIAL_2023[[#This Row],[INSTITUCIÓN O EMPRESA]],LISTAS!$J$1:$M$85,2,0)</f>
        <v>6.168450558868997, -75.5896412723252</v>
      </c>
      <c r="X238" s="114" t="b">
        <f>EXACT(EDUVIAL_2023[[#This Row],[TOTAL SEXO]],EDUVIAL_2023[[#This Row],[TOTAL RANGOS]])</f>
        <v>1</v>
      </c>
      <c r="Y238" s="106"/>
    </row>
    <row r="239" spans="1:25" ht="28.9">
      <c r="A239" s="128">
        <v>45917</v>
      </c>
      <c r="B239" s="108" t="s">
        <v>495</v>
      </c>
      <c r="C239" s="104" t="s">
        <v>49</v>
      </c>
      <c r="D239" s="104" t="s">
        <v>50</v>
      </c>
      <c r="E239" s="121" t="s">
        <v>51</v>
      </c>
      <c r="F239" s="104" t="s">
        <v>43</v>
      </c>
      <c r="G239" s="121" t="s">
        <v>51</v>
      </c>
      <c r="H239" s="121" t="s">
        <v>340</v>
      </c>
      <c r="I239" s="104" t="s">
        <v>542</v>
      </c>
      <c r="J239" s="125">
        <v>1</v>
      </c>
      <c r="K239" s="125">
        <v>4</v>
      </c>
      <c r="L239" s="112">
        <f>EDUVIAL_2023[[#This Row],[HOMBRE]]+EDUVIAL_2023[[#This Row],[MUJER]]</f>
        <v>5</v>
      </c>
      <c r="M239" s="249">
        <v>0</v>
      </c>
      <c r="N239" s="106">
        <v>0</v>
      </c>
      <c r="O239" s="106">
        <v>0</v>
      </c>
      <c r="P239" s="106">
        <v>0</v>
      </c>
      <c r="Q239" s="106">
        <v>5</v>
      </c>
      <c r="R239" s="106">
        <v>0</v>
      </c>
      <c r="S239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5</v>
      </c>
      <c r="T239" s="120">
        <f>EDUVIAL_2023[[#This Row],[TOTAL SEXO]]</f>
        <v>5</v>
      </c>
      <c r="U239" s="106" t="str">
        <f>VLOOKUP(EDUVIAL_2023[[#This Row],[INSTITUCIÓN O EMPRESA]],LISTAS!$J$1:$M$85,3,0)</f>
        <v>Zona 9</v>
      </c>
      <c r="V239" s="106" t="str">
        <f>VLOOKUP(EDUVIAL_2023[[#This Row],[INSTITUCIÓN O EMPRESA]],LISTAS!$J$1:$M$85,4,0)</f>
        <v>Centro</v>
      </c>
      <c r="W239" s="125" t="str">
        <f>VLOOKUP(EDUVIAL_2023[[#This Row],[INSTITUCIÓN O EMPRESA]],LISTAS!$J$1:$M$85,2,0)</f>
        <v>6.168450558868997, -75.5896412723252</v>
      </c>
      <c r="X239" s="114" t="b">
        <f>EXACT(EDUVIAL_2023[[#This Row],[TOTAL SEXO]],EDUVIAL_2023[[#This Row],[TOTAL RANGOS]])</f>
        <v>1</v>
      </c>
      <c r="Y239" s="106"/>
    </row>
    <row r="240" spans="1:25" ht="28.9">
      <c r="A240" s="128">
        <v>45917</v>
      </c>
      <c r="B240" s="108" t="s">
        <v>495</v>
      </c>
      <c r="C240" s="104" t="s">
        <v>176</v>
      </c>
      <c r="D240" s="104" t="s">
        <v>226</v>
      </c>
      <c r="E240" s="121" t="s">
        <v>51</v>
      </c>
      <c r="F240" s="104" t="s">
        <v>43</v>
      </c>
      <c r="G240" s="121" t="s">
        <v>543</v>
      </c>
      <c r="H240" s="121" t="s">
        <v>340</v>
      </c>
      <c r="I240" s="104" t="s">
        <v>544</v>
      </c>
      <c r="J240" s="125">
        <v>15</v>
      </c>
      <c r="K240" s="125">
        <v>12</v>
      </c>
      <c r="L240" s="112">
        <f>EDUVIAL_2023[[#This Row],[HOMBRE]]+EDUVIAL_2023[[#This Row],[MUJER]]</f>
        <v>27</v>
      </c>
      <c r="M240" s="249">
        <v>10</v>
      </c>
      <c r="N240" s="106">
        <v>15</v>
      </c>
      <c r="O240" s="106">
        <v>0</v>
      </c>
      <c r="P240" s="106">
        <v>0</v>
      </c>
      <c r="Q240" s="106">
        <v>2</v>
      </c>
      <c r="R240" s="106">
        <v>0</v>
      </c>
      <c r="S240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27</v>
      </c>
      <c r="T240" s="120">
        <f>EDUVIAL_2023[[#This Row],[TOTAL SEXO]]</f>
        <v>27</v>
      </c>
      <c r="U240" s="106" t="str">
        <f>VLOOKUP(EDUVIAL_2023[[#This Row],[INSTITUCIÓN O EMPRESA]],LISTAS!$J$1:$M$85,3,0)</f>
        <v>Zona 9</v>
      </c>
      <c r="V240" s="106" t="str">
        <f>VLOOKUP(EDUVIAL_2023[[#This Row],[INSTITUCIÓN O EMPRESA]],LISTAS!$J$1:$M$85,4,0)</f>
        <v>Centro</v>
      </c>
      <c r="W240" s="125" t="str">
        <f>VLOOKUP(EDUVIAL_2023[[#This Row],[INSTITUCIÓN O EMPRESA]],LISTAS!$J$1:$M$85,2,0)</f>
        <v>6.168450558868997, -75.5896412723252</v>
      </c>
      <c r="X240" s="114" t="b">
        <f>EXACT(EDUVIAL_2023[[#This Row],[TOTAL SEXO]],EDUVIAL_2023[[#This Row],[TOTAL RANGOS]])</f>
        <v>1</v>
      </c>
      <c r="Y240" s="106"/>
    </row>
    <row r="241" spans="1:25" ht="28.9">
      <c r="A241" s="128">
        <v>45917</v>
      </c>
      <c r="B241" s="108" t="s">
        <v>495</v>
      </c>
      <c r="C241" s="104" t="s">
        <v>49</v>
      </c>
      <c r="D241" s="104" t="s">
        <v>50</v>
      </c>
      <c r="E241" s="121" t="s">
        <v>51</v>
      </c>
      <c r="F241" s="104" t="s">
        <v>29</v>
      </c>
      <c r="G241" s="121" t="s">
        <v>545</v>
      </c>
      <c r="H241" s="121" t="s">
        <v>531</v>
      </c>
      <c r="I241" s="104" t="s">
        <v>489</v>
      </c>
      <c r="J241" s="125">
        <v>24</v>
      </c>
      <c r="K241" s="125">
        <v>18</v>
      </c>
      <c r="L241" s="112">
        <f>EDUVIAL_2023[[#This Row],[HOMBRE]]+EDUVIAL_2023[[#This Row],[MUJER]]</f>
        <v>42</v>
      </c>
      <c r="M241" s="249">
        <v>0</v>
      </c>
      <c r="N241" s="106">
        <v>0</v>
      </c>
      <c r="O241" s="106">
        <v>0</v>
      </c>
      <c r="P241" s="106">
        <v>1</v>
      </c>
      <c r="Q241" s="106">
        <v>37</v>
      </c>
      <c r="R241" s="106">
        <v>4</v>
      </c>
      <c r="S241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42</v>
      </c>
      <c r="T241" s="120">
        <f>EDUVIAL_2023[[#This Row],[TOTAL SEXO]]</f>
        <v>42</v>
      </c>
      <c r="U241" s="79" t="s">
        <v>73</v>
      </c>
      <c r="V241" s="79" t="s">
        <v>74</v>
      </c>
      <c r="W241" s="125" t="s">
        <v>529</v>
      </c>
      <c r="X241" s="114" t="b">
        <f>EXACT(EDUVIAL_2023[[#This Row],[TOTAL SEXO]],EDUVIAL_2023[[#This Row],[TOTAL RANGOS]])</f>
        <v>1</v>
      </c>
      <c r="Y241" s="106"/>
    </row>
    <row r="242" spans="1:25" ht="43.15">
      <c r="A242" s="128">
        <v>45918</v>
      </c>
      <c r="B242" s="108" t="s">
        <v>495</v>
      </c>
      <c r="C242" s="104" t="s">
        <v>176</v>
      </c>
      <c r="D242" s="104" t="s">
        <v>226</v>
      </c>
      <c r="E242" s="121" t="s">
        <v>51</v>
      </c>
      <c r="F242" s="104" t="s">
        <v>346</v>
      </c>
      <c r="G242" s="121" t="s">
        <v>546</v>
      </c>
      <c r="H242" s="121" t="s">
        <v>340</v>
      </c>
      <c r="I242" s="104" t="s">
        <v>43</v>
      </c>
      <c r="J242" s="125">
        <v>139</v>
      </c>
      <c r="K242" s="125">
        <v>138</v>
      </c>
      <c r="L242" s="112">
        <f>EDUVIAL_2023[[#This Row],[HOMBRE]]+EDUVIAL_2023[[#This Row],[MUJER]]</f>
        <v>277</v>
      </c>
      <c r="M242" s="249">
        <v>88</v>
      </c>
      <c r="N242" s="106">
        <v>175</v>
      </c>
      <c r="O242" s="106">
        <v>0</v>
      </c>
      <c r="P242" s="106">
        <v>0</v>
      </c>
      <c r="Q242" s="106">
        <v>14</v>
      </c>
      <c r="R242" s="106">
        <v>0</v>
      </c>
      <c r="S242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277</v>
      </c>
      <c r="T242" s="120">
        <f>EDUVIAL_2023[[#This Row],[TOTAL SEXO]]</f>
        <v>277</v>
      </c>
      <c r="U242" s="106" t="str">
        <f>VLOOKUP(EDUVIAL_2023[[#This Row],[INSTITUCIÓN O EMPRESA]],LISTAS!$J$1:$M$85,3,0)</f>
        <v>Zona 9</v>
      </c>
      <c r="V242" s="106" t="str">
        <f>VLOOKUP(EDUVIAL_2023[[#This Row],[INSTITUCIÓN O EMPRESA]],LISTAS!$J$1:$M$85,4,0)</f>
        <v>Centro</v>
      </c>
      <c r="W242" s="125" t="str">
        <f>VLOOKUP(EDUVIAL_2023[[#This Row],[INSTITUCIÓN O EMPRESA]],LISTAS!$J$1:$M$85,2,0)</f>
        <v>6.168450558868997, -75.5896412723252</v>
      </c>
      <c r="X242" s="114" t="b">
        <f>EXACT(EDUVIAL_2023[[#This Row],[TOTAL SEXO]],EDUVIAL_2023[[#This Row],[TOTAL RANGOS]])</f>
        <v>1</v>
      </c>
      <c r="Y242" s="106"/>
    </row>
    <row r="243" spans="1:25" ht="28.9">
      <c r="A243" s="128">
        <v>45918</v>
      </c>
      <c r="B243" s="108" t="s">
        <v>495</v>
      </c>
      <c r="C243" s="104" t="s">
        <v>36</v>
      </c>
      <c r="D243" s="104" t="s">
        <v>50</v>
      </c>
      <c r="E243" s="121" t="s">
        <v>69</v>
      </c>
      <c r="F243" s="104" t="s">
        <v>43</v>
      </c>
      <c r="G243" s="121" t="s">
        <v>547</v>
      </c>
      <c r="H243" s="121" t="s">
        <v>91</v>
      </c>
      <c r="I243" s="104" t="s">
        <v>548</v>
      </c>
      <c r="J243" s="125"/>
      <c r="K243" s="125">
        <v>2</v>
      </c>
      <c r="L243" s="112">
        <f>EDUVIAL_2023[[#This Row],[HOMBRE]]+EDUVIAL_2023[[#This Row],[MUJER]]</f>
        <v>2</v>
      </c>
      <c r="M243" s="249">
        <v>0</v>
      </c>
      <c r="N243" s="106">
        <v>0</v>
      </c>
      <c r="O243" s="106">
        <v>0</v>
      </c>
      <c r="P243" s="106">
        <v>0</v>
      </c>
      <c r="Q243" s="106">
        <v>2</v>
      </c>
      <c r="R243" s="106">
        <v>0</v>
      </c>
      <c r="S243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</v>
      </c>
      <c r="T243" s="120">
        <f>EDUVIAL_2023[[#This Row],[TOTAL SEXO]]</f>
        <v>2</v>
      </c>
      <c r="U243" s="79" t="s">
        <v>73</v>
      </c>
      <c r="V243" s="79" t="s">
        <v>74</v>
      </c>
      <c r="W243" s="125" t="s">
        <v>549</v>
      </c>
      <c r="X243" s="114" t="b">
        <f>EXACT(EDUVIAL_2023[[#This Row],[TOTAL SEXO]],EDUVIAL_2023[[#This Row],[TOTAL RANGOS]])</f>
        <v>1</v>
      </c>
      <c r="Y243" s="106"/>
    </row>
    <row r="244" spans="1:25" ht="28.9">
      <c r="A244" s="128">
        <v>45918</v>
      </c>
      <c r="B244" s="108" t="s">
        <v>495</v>
      </c>
      <c r="C244" s="104" t="s">
        <v>36</v>
      </c>
      <c r="D244" s="104" t="s">
        <v>124</v>
      </c>
      <c r="E244" s="121" t="s">
        <v>128</v>
      </c>
      <c r="F244" s="104" t="s">
        <v>43</v>
      </c>
      <c r="G244" s="121" t="s">
        <v>550</v>
      </c>
      <c r="H244" s="121" t="s">
        <v>357</v>
      </c>
      <c r="I244" s="104" t="s">
        <v>43</v>
      </c>
      <c r="J244" s="125">
        <v>175</v>
      </c>
      <c r="K244" s="125">
        <v>55</v>
      </c>
      <c r="L244" s="112">
        <f>EDUVIAL_2023[[#This Row],[HOMBRE]]+EDUVIAL_2023[[#This Row],[MUJER]]</f>
        <v>230</v>
      </c>
      <c r="M244" s="249">
        <v>0</v>
      </c>
      <c r="N244" s="106">
        <v>38</v>
      </c>
      <c r="O244" s="106">
        <v>72</v>
      </c>
      <c r="P244" s="106">
        <v>52</v>
      </c>
      <c r="Q244" s="106">
        <v>68</v>
      </c>
      <c r="R244" s="106">
        <v>0</v>
      </c>
      <c r="S24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230</v>
      </c>
      <c r="T244" s="120">
        <f>EDUVIAL_2023[[#This Row],[TOTAL SEXO]]</f>
        <v>230</v>
      </c>
      <c r="U244" s="106" t="str">
        <f>VLOOKUP(EDUVIAL_2023[[#This Row],[INSTITUCIÓN O EMPRESA]],LISTAS!$J$1:$M$85,3,0)</f>
        <v>Zona 9</v>
      </c>
      <c r="V244" s="106" t="str">
        <f>VLOOKUP(EDUVIAL_2023[[#This Row],[INSTITUCIÓN O EMPRESA]],LISTAS!$J$1:$M$85,4,0)</f>
        <v>Centro</v>
      </c>
      <c r="W244" s="125" t="str">
        <f>VLOOKUP(EDUVIAL_2023[[#This Row],[INSTITUCIÓN O EMPRESA]],LISTAS!$J$1:$M$85,2,0)</f>
        <v>6.169773013301722, -75.58747462568526</v>
      </c>
      <c r="X244" s="114" t="b">
        <f>EXACT(EDUVIAL_2023[[#This Row],[TOTAL SEXO]],EDUVIAL_2023[[#This Row],[TOTAL RANGOS]])</f>
        <v>1</v>
      </c>
      <c r="Y244" s="106"/>
    </row>
    <row r="245" spans="1:25" ht="28.9">
      <c r="A245" s="128">
        <v>45920</v>
      </c>
      <c r="B245" s="108" t="s">
        <v>495</v>
      </c>
      <c r="C245" s="104" t="s">
        <v>106</v>
      </c>
      <c r="D245" s="104" t="s">
        <v>368</v>
      </c>
      <c r="E245" s="121" t="s">
        <v>491</v>
      </c>
      <c r="F245" s="104" t="s">
        <v>43</v>
      </c>
      <c r="G245" s="121" t="s">
        <v>514</v>
      </c>
      <c r="H245" s="121" t="s">
        <v>340</v>
      </c>
      <c r="I245" s="104" t="s">
        <v>43</v>
      </c>
      <c r="J245" s="125"/>
      <c r="K245" s="125"/>
      <c r="L245" s="112">
        <f>EDUVIAL_2023[[#This Row],[HOMBRE]]+EDUVIAL_2023[[#This Row],[MUJER]]</f>
        <v>0</v>
      </c>
      <c r="M245" s="249"/>
      <c r="N245" s="106"/>
      <c r="O245" s="106"/>
      <c r="P245" s="106"/>
      <c r="Q245" s="106"/>
      <c r="R245" s="106"/>
      <c r="S24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0</v>
      </c>
      <c r="T245" s="120">
        <f>EDUVIAL_2023[[#This Row],[TOTAL SEXO]]</f>
        <v>0</v>
      </c>
      <c r="U245" s="106" t="str">
        <f>VLOOKUP(EDUVIAL_2023[[#This Row],[INSTITUCIÓN O EMPRESA]],LISTAS!$J$1:$M$85,3,0)</f>
        <v>Zona 9</v>
      </c>
      <c r="V245" s="106" t="str">
        <f>VLOOKUP(EDUVIAL_2023[[#This Row],[INSTITUCIÓN O EMPRESA]],LISTAS!$J$1:$M$85,4,0)</f>
        <v>Centro</v>
      </c>
      <c r="W245" s="125" t="str">
        <f>VLOOKUP(EDUVIAL_2023[[#This Row],[INSTITUCIÓN O EMPRESA]],LISTAS!$J$1:$M$85,2,0)</f>
        <v>6.168450558868997, -75.5896412723252</v>
      </c>
      <c r="X245" s="114" t="b">
        <f>EXACT(EDUVIAL_2023[[#This Row],[TOTAL SEXO]],EDUVIAL_2023[[#This Row],[TOTAL RANGOS]])</f>
        <v>1</v>
      </c>
      <c r="Y245" s="106"/>
    </row>
    <row r="246" spans="1:25" ht="28.9">
      <c r="A246" s="128">
        <v>45920</v>
      </c>
      <c r="B246" s="108" t="s">
        <v>495</v>
      </c>
      <c r="C246" s="104" t="s">
        <v>49</v>
      </c>
      <c r="D246" s="104" t="s">
        <v>148</v>
      </c>
      <c r="E246" s="121" t="s">
        <v>94</v>
      </c>
      <c r="F246" s="104" t="s">
        <v>43</v>
      </c>
      <c r="G246" s="121" t="s">
        <v>551</v>
      </c>
      <c r="H246" s="121" t="s">
        <v>340</v>
      </c>
      <c r="I246" s="104" t="s">
        <v>552</v>
      </c>
      <c r="J246" s="125">
        <v>14</v>
      </c>
      <c r="K246" s="125">
        <v>7</v>
      </c>
      <c r="L246" s="112">
        <f>EDUVIAL_2023[[#This Row],[HOMBRE]]+EDUVIAL_2023[[#This Row],[MUJER]]</f>
        <v>21</v>
      </c>
      <c r="M246" s="249">
        <v>0</v>
      </c>
      <c r="N246" s="106">
        <v>0</v>
      </c>
      <c r="O246" s="106">
        <v>0</v>
      </c>
      <c r="P246" s="106">
        <v>0</v>
      </c>
      <c r="Q246" s="106">
        <v>21</v>
      </c>
      <c r="R246" s="106">
        <v>0</v>
      </c>
      <c r="S24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21</v>
      </c>
      <c r="T246" s="120">
        <f>EDUVIAL_2023[[#This Row],[TOTAL SEXO]]</f>
        <v>21</v>
      </c>
      <c r="U246" s="106" t="str">
        <f>VLOOKUP(EDUVIAL_2023[[#This Row],[INSTITUCIÓN O EMPRESA]],LISTAS!$J$1:$M$85,3,0)</f>
        <v>Zona 9</v>
      </c>
      <c r="V246" s="106" t="str">
        <f>VLOOKUP(EDUVIAL_2023[[#This Row],[INSTITUCIÓN O EMPRESA]],LISTAS!$J$1:$M$85,4,0)</f>
        <v>Centro</v>
      </c>
      <c r="W246" s="125" t="str">
        <f>VLOOKUP(EDUVIAL_2023[[#This Row],[INSTITUCIÓN O EMPRESA]],LISTAS!$J$1:$M$85,2,0)</f>
        <v>6.168450558868997, -75.5896412723252</v>
      </c>
      <c r="X246" s="114" t="b">
        <f>EXACT(EDUVIAL_2023[[#This Row],[TOTAL SEXO]],EDUVIAL_2023[[#This Row],[TOTAL RANGOS]])</f>
        <v>1</v>
      </c>
      <c r="Y246" s="106"/>
    </row>
    <row r="247" spans="1:25" ht="28.9">
      <c r="A247" s="128">
        <v>45922</v>
      </c>
      <c r="B247" s="108" t="s">
        <v>495</v>
      </c>
      <c r="C247" s="104" t="s">
        <v>49</v>
      </c>
      <c r="D247" s="104" t="s">
        <v>50</v>
      </c>
      <c r="E247" s="121" t="s">
        <v>51</v>
      </c>
      <c r="F247" s="104" t="s">
        <v>79</v>
      </c>
      <c r="G247" s="121" t="s">
        <v>553</v>
      </c>
      <c r="H247" s="121" t="s">
        <v>340</v>
      </c>
      <c r="I247" s="104" t="s">
        <v>489</v>
      </c>
      <c r="J247" s="125">
        <v>8</v>
      </c>
      <c r="K247" s="125">
        <v>0</v>
      </c>
      <c r="L247" s="112">
        <f>EDUVIAL_2023[[#This Row],[HOMBRE]]+EDUVIAL_2023[[#This Row],[MUJER]]</f>
        <v>8</v>
      </c>
      <c r="M247" s="249">
        <v>0</v>
      </c>
      <c r="N247" s="106">
        <v>0</v>
      </c>
      <c r="O247" s="106">
        <v>0</v>
      </c>
      <c r="P247" s="106">
        <v>0</v>
      </c>
      <c r="Q247" s="106">
        <v>8</v>
      </c>
      <c r="R247" s="106">
        <v>0</v>
      </c>
      <c r="S24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8</v>
      </c>
      <c r="T247" s="120">
        <f>EDUVIAL_2023[[#This Row],[TOTAL SEXO]]</f>
        <v>8</v>
      </c>
      <c r="U247" s="106" t="str">
        <f>VLOOKUP(EDUVIAL_2023[[#This Row],[INSTITUCIÓN O EMPRESA]],LISTAS!$J$1:$M$85,3,0)</f>
        <v>Zona 9</v>
      </c>
      <c r="V247" s="106" t="str">
        <f>VLOOKUP(EDUVIAL_2023[[#This Row],[INSTITUCIÓN O EMPRESA]],LISTAS!$J$1:$M$85,4,0)</f>
        <v>Centro</v>
      </c>
      <c r="W247" s="125" t="str">
        <f>VLOOKUP(EDUVIAL_2023[[#This Row],[INSTITUCIÓN O EMPRESA]],LISTAS!$J$1:$M$85,2,0)</f>
        <v>6.168450558868997, -75.5896412723252</v>
      </c>
      <c r="X247" s="114" t="b">
        <f>EXACT(EDUVIAL_2023[[#This Row],[TOTAL SEXO]],EDUVIAL_2023[[#This Row],[TOTAL RANGOS]])</f>
        <v>1</v>
      </c>
      <c r="Y247" s="106"/>
    </row>
    <row r="248" spans="1:25" ht="28.9">
      <c r="A248" s="128">
        <v>45922</v>
      </c>
      <c r="B248" s="108" t="s">
        <v>495</v>
      </c>
      <c r="C248" s="104" t="s">
        <v>49</v>
      </c>
      <c r="D248" s="104" t="s">
        <v>50</v>
      </c>
      <c r="E248" s="121" t="s">
        <v>51</v>
      </c>
      <c r="F248" s="104" t="s">
        <v>79</v>
      </c>
      <c r="G248" s="121" t="s">
        <v>554</v>
      </c>
      <c r="H248" s="121" t="s">
        <v>531</v>
      </c>
      <c r="I248" s="104" t="s">
        <v>489</v>
      </c>
      <c r="J248" s="125">
        <v>33</v>
      </c>
      <c r="K248" s="125">
        <v>3</v>
      </c>
      <c r="L248" s="112">
        <f>EDUVIAL_2023[[#This Row],[HOMBRE]]+EDUVIAL_2023[[#This Row],[MUJER]]</f>
        <v>36</v>
      </c>
      <c r="M248" s="249">
        <v>0</v>
      </c>
      <c r="N248" s="106">
        <v>0</v>
      </c>
      <c r="O248" s="106">
        <v>0</v>
      </c>
      <c r="P248" s="106">
        <v>2</v>
      </c>
      <c r="Q248" s="106">
        <v>30</v>
      </c>
      <c r="R248" s="106">
        <v>4</v>
      </c>
      <c r="S248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36</v>
      </c>
      <c r="T248" s="120">
        <f>EDUVIAL_2023[[#This Row],[TOTAL SEXO]]</f>
        <v>36</v>
      </c>
      <c r="U248" s="79" t="s">
        <v>73</v>
      </c>
      <c r="V248" s="79" t="s">
        <v>74</v>
      </c>
      <c r="W248" s="125" t="s">
        <v>529</v>
      </c>
      <c r="X248" s="114" t="b">
        <f>EXACT(EDUVIAL_2023[[#This Row],[TOTAL SEXO]],EDUVIAL_2023[[#This Row],[TOTAL RANGOS]])</f>
        <v>1</v>
      </c>
      <c r="Y248" s="106"/>
    </row>
    <row r="249" spans="1:25" ht="43.15">
      <c r="A249" s="128">
        <v>45923</v>
      </c>
      <c r="B249" s="108" t="s">
        <v>495</v>
      </c>
      <c r="C249" s="104" t="s">
        <v>176</v>
      </c>
      <c r="D249" s="104" t="s">
        <v>239</v>
      </c>
      <c r="E249" s="121" t="s">
        <v>51</v>
      </c>
      <c r="F249" s="104" t="s">
        <v>43</v>
      </c>
      <c r="G249" s="121" t="s">
        <v>555</v>
      </c>
      <c r="H249" s="121" t="s">
        <v>340</v>
      </c>
      <c r="I249" s="104" t="s">
        <v>556</v>
      </c>
      <c r="J249" s="125">
        <v>17</v>
      </c>
      <c r="K249" s="125">
        <v>27</v>
      </c>
      <c r="L249" s="112">
        <f>EDUVIAL_2023[[#This Row],[HOMBRE]]+EDUVIAL_2023[[#This Row],[MUJER]]</f>
        <v>44</v>
      </c>
      <c r="M249" s="249">
        <v>40</v>
      </c>
      <c r="N249" s="106">
        <v>0</v>
      </c>
      <c r="O249" s="106">
        <v>0</v>
      </c>
      <c r="P249" s="106">
        <v>3</v>
      </c>
      <c r="Q249" s="106">
        <v>1</v>
      </c>
      <c r="R249" s="106">
        <v>0</v>
      </c>
      <c r="S249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44</v>
      </c>
      <c r="T249" s="120">
        <f>EDUVIAL_2023[[#This Row],[TOTAL SEXO]]</f>
        <v>44</v>
      </c>
      <c r="U249" s="106" t="str">
        <f>VLOOKUP(EDUVIAL_2023[[#This Row],[INSTITUCIÓN O EMPRESA]],LISTAS!$J$1:$M$85,3,0)</f>
        <v>Zona 9</v>
      </c>
      <c r="V249" s="106" t="str">
        <f>VLOOKUP(EDUVIAL_2023[[#This Row],[INSTITUCIÓN O EMPRESA]],LISTAS!$J$1:$M$85,4,0)</f>
        <v>Centro</v>
      </c>
      <c r="W249" s="125" t="str">
        <f>VLOOKUP(EDUVIAL_2023[[#This Row],[INSTITUCIÓN O EMPRESA]],LISTAS!$J$1:$M$85,2,0)</f>
        <v>6.168450558868997, -75.5896412723252</v>
      </c>
      <c r="X249" s="114" t="b">
        <f>EXACT(EDUVIAL_2023[[#This Row],[TOTAL SEXO]],EDUVIAL_2023[[#This Row],[TOTAL RANGOS]])</f>
        <v>1</v>
      </c>
      <c r="Y249" s="106"/>
    </row>
    <row r="250" spans="1:25" ht="28.9">
      <c r="A250" s="128">
        <v>45923</v>
      </c>
      <c r="B250" s="108" t="s">
        <v>495</v>
      </c>
      <c r="C250" s="104" t="s">
        <v>67</v>
      </c>
      <c r="D250" s="104" t="s">
        <v>371</v>
      </c>
      <c r="E250" s="121" t="s">
        <v>51</v>
      </c>
      <c r="F250" s="104" t="s">
        <v>43</v>
      </c>
      <c r="G250" s="121" t="s">
        <v>557</v>
      </c>
      <c r="H250" s="121" t="s">
        <v>71</v>
      </c>
      <c r="I250" s="104" t="s">
        <v>558</v>
      </c>
      <c r="J250" s="125">
        <v>52</v>
      </c>
      <c r="K250" s="125">
        <v>51</v>
      </c>
      <c r="L250" s="112">
        <f>EDUVIAL_2023[[#This Row],[HOMBRE]]+EDUVIAL_2023[[#This Row],[MUJER]]</f>
        <v>103</v>
      </c>
      <c r="M250" s="249">
        <v>22</v>
      </c>
      <c r="N250" s="106">
        <v>80</v>
      </c>
      <c r="O250" s="106">
        <v>0</v>
      </c>
      <c r="P250" s="106">
        <v>0</v>
      </c>
      <c r="Q250" s="106">
        <v>1</v>
      </c>
      <c r="R250" s="106">
        <v>0</v>
      </c>
      <c r="S250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103</v>
      </c>
      <c r="T250" s="120">
        <f>EDUVIAL_2023[[#This Row],[TOTAL SEXO]]</f>
        <v>103</v>
      </c>
      <c r="U250" s="106" t="str">
        <f>VLOOKUP(EDUVIAL_2023[[#This Row],[INSTITUCIÓN O EMPRESA]],LISTAS!$J$1:$M$85,3,0)</f>
        <v>Zona 9</v>
      </c>
      <c r="V250" s="106" t="str">
        <f>VLOOKUP(EDUVIAL_2023[[#This Row],[INSTITUCIÓN O EMPRESA]],LISTAS!$J$1:$M$85,4,0)</f>
        <v>Centro</v>
      </c>
      <c r="W250" s="125" t="str">
        <f>VLOOKUP(EDUVIAL_2023[[#This Row],[INSTITUCIÓN O EMPRESA]],LISTAS!$J$1:$M$85,2,0)</f>
        <v>6.167664, -75.586311</v>
      </c>
      <c r="X250" s="114" t="b">
        <f>EXACT(EDUVIAL_2023[[#This Row],[TOTAL SEXO]],EDUVIAL_2023[[#This Row],[TOTAL RANGOS]])</f>
        <v>1</v>
      </c>
      <c r="Y250" s="106"/>
    </row>
    <row r="251" spans="1:25" ht="43.15">
      <c r="A251" s="128">
        <v>45924</v>
      </c>
      <c r="B251" s="108" t="s">
        <v>495</v>
      </c>
      <c r="C251" s="104" t="s">
        <v>176</v>
      </c>
      <c r="D251" s="104" t="s">
        <v>226</v>
      </c>
      <c r="E251" s="121" t="s">
        <v>51</v>
      </c>
      <c r="F251" s="104" t="s">
        <v>43</v>
      </c>
      <c r="G251" s="121" t="s">
        <v>559</v>
      </c>
      <c r="H251" s="121" t="s">
        <v>340</v>
      </c>
      <c r="I251" s="104" t="s">
        <v>43</v>
      </c>
      <c r="J251" s="125">
        <v>58</v>
      </c>
      <c r="K251" s="125">
        <v>51</v>
      </c>
      <c r="L251" s="112">
        <f>EDUVIAL_2023[[#This Row],[HOMBRE]]+EDUVIAL_2023[[#This Row],[MUJER]]</f>
        <v>109</v>
      </c>
      <c r="M251" s="249">
        <v>0</v>
      </c>
      <c r="N251" s="106">
        <v>105</v>
      </c>
      <c r="O251" s="106">
        <v>0</v>
      </c>
      <c r="P251" s="106">
        <v>0</v>
      </c>
      <c r="Q251" s="106">
        <v>4</v>
      </c>
      <c r="R251" s="106">
        <v>0</v>
      </c>
      <c r="S251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109</v>
      </c>
      <c r="T251" s="120">
        <f>EDUVIAL_2023[[#This Row],[TOTAL SEXO]]</f>
        <v>109</v>
      </c>
      <c r="U251" s="106" t="str">
        <f>VLOOKUP(EDUVIAL_2023[[#This Row],[INSTITUCIÓN O EMPRESA]],LISTAS!$J$1:$M$85,3,0)</f>
        <v>Zona 9</v>
      </c>
      <c r="V251" s="106" t="str">
        <f>VLOOKUP(EDUVIAL_2023[[#This Row],[INSTITUCIÓN O EMPRESA]],LISTAS!$J$1:$M$85,4,0)</f>
        <v>Centro</v>
      </c>
      <c r="W251" s="125" t="str">
        <f>VLOOKUP(EDUVIAL_2023[[#This Row],[INSTITUCIÓN O EMPRESA]],LISTAS!$J$1:$M$85,2,0)</f>
        <v>6.168450558868997, -75.5896412723252</v>
      </c>
      <c r="X251" s="114" t="b">
        <f>EXACT(EDUVIAL_2023[[#This Row],[TOTAL SEXO]],EDUVIAL_2023[[#This Row],[TOTAL RANGOS]])</f>
        <v>1</v>
      </c>
      <c r="Y251" s="106"/>
    </row>
    <row r="252" spans="1:25" ht="43.15">
      <c r="A252" s="128">
        <v>45925</v>
      </c>
      <c r="B252" s="108" t="s">
        <v>495</v>
      </c>
      <c r="C252" s="104" t="s">
        <v>176</v>
      </c>
      <c r="D252" s="104" t="s">
        <v>226</v>
      </c>
      <c r="E252" s="121" t="s">
        <v>51</v>
      </c>
      <c r="F252" s="104" t="s">
        <v>43</v>
      </c>
      <c r="G252" s="121" t="s">
        <v>560</v>
      </c>
      <c r="H252" s="121" t="s">
        <v>340</v>
      </c>
      <c r="I252" s="104" t="s">
        <v>43</v>
      </c>
      <c r="J252" s="125">
        <v>57</v>
      </c>
      <c r="K252" s="125">
        <v>56</v>
      </c>
      <c r="L252" s="112">
        <f>EDUVIAL_2023[[#This Row],[HOMBRE]]+EDUVIAL_2023[[#This Row],[MUJER]]</f>
        <v>113</v>
      </c>
      <c r="M252" s="249">
        <v>0</v>
      </c>
      <c r="N252" s="106">
        <v>109</v>
      </c>
      <c r="O252" s="106">
        <v>0</v>
      </c>
      <c r="P252" s="106">
        <v>0</v>
      </c>
      <c r="Q252" s="106">
        <v>4</v>
      </c>
      <c r="R252" s="106">
        <v>0</v>
      </c>
      <c r="S252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113</v>
      </c>
      <c r="T252" s="120">
        <f>EDUVIAL_2023[[#This Row],[TOTAL SEXO]]</f>
        <v>113</v>
      </c>
      <c r="U252" s="106" t="str">
        <f>VLOOKUP(EDUVIAL_2023[[#This Row],[INSTITUCIÓN O EMPRESA]],LISTAS!$J$1:$M$85,3,0)</f>
        <v>Zona 9</v>
      </c>
      <c r="V252" s="106" t="str">
        <f>VLOOKUP(EDUVIAL_2023[[#This Row],[INSTITUCIÓN O EMPRESA]],LISTAS!$J$1:$M$85,4,0)</f>
        <v>Centro</v>
      </c>
      <c r="W252" s="125" t="str">
        <f>VLOOKUP(EDUVIAL_2023[[#This Row],[INSTITUCIÓN O EMPRESA]],LISTAS!$J$1:$M$85,2,0)</f>
        <v>6.168450558868997, -75.5896412723252</v>
      </c>
      <c r="X252" s="114" t="b">
        <f>EXACT(EDUVIAL_2023[[#This Row],[TOTAL SEXO]],EDUVIAL_2023[[#This Row],[TOTAL RANGOS]])</f>
        <v>1</v>
      </c>
      <c r="Y252" s="106"/>
    </row>
    <row r="253" spans="1:25" ht="43.15">
      <c r="A253" s="128">
        <v>45926</v>
      </c>
      <c r="B253" s="108" t="s">
        <v>495</v>
      </c>
      <c r="C253" s="104" t="s">
        <v>176</v>
      </c>
      <c r="D253" s="104" t="s">
        <v>226</v>
      </c>
      <c r="E253" s="121" t="s">
        <v>51</v>
      </c>
      <c r="F253" s="104" t="s">
        <v>43</v>
      </c>
      <c r="G253" s="121" t="s">
        <v>561</v>
      </c>
      <c r="H253" s="121" t="s">
        <v>340</v>
      </c>
      <c r="I253" s="104" t="s">
        <v>562</v>
      </c>
      <c r="J253" s="125">
        <v>70</v>
      </c>
      <c r="K253" s="125">
        <v>57</v>
      </c>
      <c r="L253" s="112">
        <f>EDUVIAL_2023[[#This Row],[HOMBRE]]+EDUVIAL_2023[[#This Row],[MUJER]]</f>
        <v>127</v>
      </c>
      <c r="M253" s="249">
        <v>0</v>
      </c>
      <c r="N253" s="106">
        <v>124</v>
      </c>
      <c r="O253" s="106">
        <v>0</v>
      </c>
      <c r="P253" s="106">
        <v>0</v>
      </c>
      <c r="Q253" s="106">
        <v>3</v>
      </c>
      <c r="R253" s="106">
        <v>0</v>
      </c>
      <c r="S253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127</v>
      </c>
      <c r="T253" s="120">
        <f>EDUVIAL_2023[[#This Row],[TOTAL SEXO]]</f>
        <v>127</v>
      </c>
      <c r="U253" s="106" t="str">
        <f>VLOOKUP(EDUVIAL_2023[[#This Row],[INSTITUCIÓN O EMPRESA]],LISTAS!$J$1:$M$85,3,0)</f>
        <v>Zona 9</v>
      </c>
      <c r="V253" s="106" t="str">
        <f>VLOOKUP(EDUVIAL_2023[[#This Row],[INSTITUCIÓN O EMPRESA]],LISTAS!$J$1:$M$85,4,0)</f>
        <v>Centro</v>
      </c>
      <c r="W253" s="125" t="str">
        <f>VLOOKUP(EDUVIAL_2023[[#This Row],[INSTITUCIÓN O EMPRESA]],LISTAS!$J$1:$M$85,2,0)</f>
        <v>6.168450558868997, -75.5896412723252</v>
      </c>
      <c r="X253" s="114" t="b">
        <f>EXACT(EDUVIAL_2023[[#This Row],[TOTAL SEXO]],EDUVIAL_2023[[#This Row],[TOTAL RANGOS]])</f>
        <v>1</v>
      </c>
      <c r="Y253" s="106"/>
    </row>
    <row r="254" spans="1:25" ht="28.9">
      <c r="A254" s="128">
        <v>45927</v>
      </c>
      <c r="B254" s="108" t="s">
        <v>495</v>
      </c>
      <c r="C254" s="104" t="s">
        <v>106</v>
      </c>
      <c r="D254" s="104" t="s">
        <v>368</v>
      </c>
      <c r="E254" s="121" t="s">
        <v>491</v>
      </c>
      <c r="F254" s="104" t="s">
        <v>43</v>
      </c>
      <c r="G254" s="121" t="s">
        <v>563</v>
      </c>
      <c r="H254" s="121" t="s">
        <v>340</v>
      </c>
      <c r="I254" s="104" t="s">
        <v>43</v>
      </c>
      <c r="J254" s="125"/>
      <c r="K254" s="125"/>
      <c r="L254" s="112">
        <f>EDUVIAL_2023[[#This Row],[HOMBRE]]+EDUVIAL_2023[[#This Row],[MUJER]]</f>
        <v>0</v>
      </c>
      <c r="M254" s="249"/>
      <c r="N254" s="106"/>
      <c r="O254" s="106"/>
      <c r="P254" s="106"/>
      <c r="Q254" s="106"/>
      <c r="R254" s="106"/>
      <c r="S25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0</v>
      </c>
      <c r="T254" s="120">
        <f>EDUVIAL_2023[[#This Row],[TOTAL SEXO]]</f>
        <v>0</v>
      </c>
      <c r="U254" s="106" t="str">
        <f>VLOOKUP(EDUVIAL_2023[[#This Row],[INSTITUCIÓN O EMPRESA]],LISTAS!$J$1:$M$85,3,0)</f>
        <v>Zona 9</v>
      </c>
      <c r="V254" s="106" t="str">
        <f>VLOOKUP(EDUVIAL_2023[[#This Row],[INSTITUCIÓN O EMPRESA]],LISTAS!$J$1:$M$85,4,0)</f>
        <v>Centro</v>
      </c>
      <c r="W254" s="125" t="str">
        <f>VLOOKUP(EDUVIAL_2023[[#This Row],[INSTITUCIÓN O EMPRESA]],LISTAS!$J$1:$M$85,2,0)</f>
        <v>6.168450558868997, -75.5896412723252</v>
      </c>
      <c r="X254" s="114" t="b">
        <f>EXACT(EDUVIAL_2023[[#This Row],[TOTAL SEXO]],EDUVIAL_2023[[#This Row],[TOTAL RANGOS]])</f>
        <v>1</v>
      </c>
      <c r="Y254" s="106"/>
    </row>
    <row r="255" spans="1:25" ht="28.9">
      <c r="A255" s="128">
        <v>45927</v>
      </c>
      <c r="B255" s="108" t="s">
        <v>495</v>
      </c>
      <c r="C255" s="104" t="s">
        <v>49</v>
      </c>
      <c r="D255" s="104" t="s">
        <v>148</v>
      </c>
      <c r="E255" s="121" t="s">
        <v>94</v>
      </c>
      <c r="F255" s="104" t="s">
        <v>29</v>
      </c>
      <c r="G255" s="121" t="s">
        <v>551</v>
      </c>
      <c r="H255" s="121" t="s">
        <v>340</v>
      </c>
      <c r="I255" s="104" t="s">
        <v>564</v>
      </c>
      <c r="J255" s="125">
        <v>17</v>
      </c>
      <c r="K255" s="125">
        <v>7</v>
      </c>
      <c r="L255" s="112">
        <f>EDUVIAL_2023[[#This Row],[HOMBRE]]+EDUVIAL_2023[[#This Row],[MUJER]]</f>
        <v>24</v>
      </c>
      <c r="M255" s="249">
        <v>0</v>
      </c>
      <c r="N255" s="106">
        <v>0</v>
      </c>
      <c r="O255" s="106">
        <v>0</v>
      </c>
      <c r="P255" s="106">
        <v>5</v>
      </c>
      <c r="Q255" s="106">
        <v>19</v>
      </c>
      <c r="R255" s="106">
        <v>0</v>
      </c>
      <c r="S25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24</v>
      </c>
      <c r="T255" s="120">
        <f>EDUVIAL_2023[[#This Row],[TOTAL SEXO]]</f>
        <v>24</v>
      </c>
      <c r="U255" s="106" t="str">
        <f>VLOOKUP(EDUVIAL_2023[[#This Row],[INSTITUCIÓN O EMPRESA]],LISTAS!$J$1:$M$85,3,0)</f>
        <v>Zona 9</v>
      </c>
      <c r="V255" s="106" t="str">
        <f>VLOOKUP(EDUVIAL_2023[[#This Row],[INSTITUCIÓN O EMPRESA]],LISTAS!$J$1:$M$85,4,0)</f>
        <v>Centro</v>
      </c>
      <c r="W255" s="125" t="str">
        <f>VLOOKUP(EDUVIAL_2023[[#This Row],[INSTITUCIÓN O EMPRESA]],LISTAS!$J$1:$M$85,2,0)</f>
        <v>6.168450558868997, -75.5896412723252</v>
      </c>
      <c r="X255" s="114" t="b">
        <f>EXACT(EDUVIAL_2023[[#This Row],[TOTAL SEXO]],EDUVIAL_2023[[#This Row],[TOTAL RANGOS]])</f>
        <v>1</v>
      </c>
      <c r="Y255" s="106"/>
    </row>
    <row r="256" spans="1:25" ht="28.9">
      <c r="A256" s="128">
        <v>45929</v>
      </c>
      <c r="B256" s="108" t="s">
        <v>495</v>
      </c>
      <c r="C256" s="104" t="s">
        <v>49</v>
      </c>
      <c r="D256" s="104" t="s">
        <v>50</v>
      </c>
      <c r="E256" s="121" t="s">
        <v>51</v>
      </c>
      <c r="F256" s="104" t="s">
        <v>29</v>
      </c>
      <c r="G256" s="121" t="s">
        <v>565</v>
      </c>
      <c r="H256" s="121" t="s">
        <v>566</v>
      </c>
      <c r="I256" s="104" t="s">
        <v>567</v>
      </c>
      <c r="J256" s="125">
        <v>14</v>
      </c>
      <c r="K256" s="125">
        <v>2</v>
      </c>
      <c r="L256" s="112">
        <f>EDUVIAL_2023[[#This Row],[HOMBRE]]+EDUVIAL_2023[[#This Row],[MUJER]]</f>
        <v>16</v>
      </c>
      <c r="M256" s="249">
        <v>0</v>
      </c>
      <c r="N256" s="106">
        <v>0</v>
      </c>
      <c r="O256" s="106">
        <v>0</v>
      </c>
      <c r="P256" s="106">
        <v>0</v>
      </c>
      <c r="Q256" s="106">
        <v>15</v>
      </c>
      <c r="R256" s="106">
        <v>1</v>
      </c>
      <c r="S25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16</v>
      </c>
      <c r="T256" s="120">
        <f>EDUVIAL_2023[[#This Row],[TOTAL SEXO]]</f>
        <v>16</v>
      </c>
      <c r="U256" s="106" t="s">
        <v>145</v>
      </c>
      <c r="V256" s="106" t="s">
        <v>568</v>
      </c>
      <c r="W256" s="125" t="s">
        <v>569</v>
      </c>
      <c r="X256" s="114" t="b">
        <f>EXACT(EDUVIAL_2023[[#This Row],[TOTAL SEXO]],EDUVIAL_2023[[#This Row],[TOTAL RANGOS]])</f>
        <v>1</v>
      </c>
      <c r="Y256" s="106"/>
    </row>
    <row r="257" spans="1:25">
      <c r="A257" s="128">
        <v>45930</v>
      </c>
      <c r="B257" s="108" t="s">
        <v>495</v>
      </c>
      <c r="C257" s="104" t="s">
        <v>36</v>
      </c>
      <c r="D257" s="104" t="s">
        <v>37</v>
      </c>
      <c r="E257" s="121" t="s">
        <v>38</v>
      </c>
      <c r="F257" s="104" t="s">
        <v>29</v>
      </c>
      <c r="G257" s="121" t="s">
        <v>570</v>
      </c>
      <c r="H257" s="121" t="s">
        <v>340</v>
      </c>
      <c r="I257" s="104" t="s">
        <v>571</v>
      </c>
      <c r="J257" s="125">
        <v>1</v>
      </c>
      <c r="K257" s="125">
        <v>0</v>
      </c>
      <c r="L257" s="112">
        <f>EDUVIAL_2023[[#This Row],[HOMBRE]]+EDUVIAL_2023[[#This Row],[MUJER]]</f>
        <v>1</v>
      </c>
      <c r="M257" s="249">
        <v>0</v>
      </c>
      <c r="N257" s="106">
        <v>0</v>
      </c>
      <c r="O257" s="106">
        <v>0</v>
      </c>
      <c r="P257" s="106">
        <v>0</v>
      </c>
      <c r="Q257" s="106">
        <v>1</v>
      </c>
      <c r="R257" s="106">
        <v>0</v>
      </c>
      <c r="S25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257" s="120">
        <f>EDUVIAL_2023[[#This Row],[TOTAL SEXO]]</f>
        <v>1</v>
      </c>
      <c r="U257" s="106" t="str">
        <f>VLOOKUP(EDUVIAL_2023[[#This Row],[INSTITUCIÓN O EMPRESA]],LISTAS!$J$1:$M$85,3,0)</f>
        <v>Zona 9</v>
      </c>
      <c r="V257" s="106" t="str">
        <f>VLOOKUP(EDUVIAL_2023[[#This Row],[INSTITUCIÓN O EMPRESA]],LISTAS!$J$1:$M$85,4,0)</f>
        <v>Centro</v>
      </c>
      <c r="W257" s="125" t="str">
        <f>VLOOKUP(EDUVIAL_2023[[#This Row],[INSTITUCIÓN O EMPRESA]],LISTAS!$J$1:$M$85,2,0)</f>
        <v>6.168450558868997, -75.5896412723252</v>
      </c>
      <c r="X257" s="114" t="b">
        <f>EXACT(EDUVIAL_2023[[#This Row],[TOTAL SEXO]],EDUVIAL_2023[[#This Row],[TOTAL RANGOS]])</f>
        <v>1</v>
      </c>
      <c r="Y257" s="106"/>
    </row>
    <row r="258" spans="1:25" ht="43.15">
      <c r="A258" s="128">
        <v>45930</v>
      </c>
      <c r="B258" s="108" t="s">
        <v>495</v>
      </c>
      <c r="C258" s="104" t="s">
        <v>176</v>
      </c>
      <c r="D258" s="104" t="s">
        <v>226</v>
      </c>
      <c r="E258" s="121" t="s">
        <v>51</v>
      </c>
      <c r="F258" s="104" t="s">
        <v>240</v>
      </c>
      <c r="G258" s="121" t="s">
        <v>572</v>
      </c>
      <c r="H258" s="121" t="s">
        <v>340</v>
      </c>
      <c r="I258" s="104" t="s">
        <v>573</v>
      </c>
      <c r="J258" s="125">
        <v>36</v>
      </c>
      <c r="K258" s="125">
        <v>55</v>
      </c>
      <c r="L258" s="112">
        <f>EDUVIAL_2023[[#This Row],[HOMBRE]]+EDUVIAL_2023[[#This Row],[MUJER]]</f>
        <v>91</v>
      </c>
      <c r="M258" s="249">
        <v>0</v>
      </c>
      <c r="N258" s="106">
        <v>78</v>
      </c>
      <c r="O258" s="106">
        <v>0</v>
      </c>
      <c r="P258" s="106">
        <v>2</v>
      </c>
      <c r="Q258" s="106">
        <v>9</v>
      </c>
      <c r="R258" s="106">
        <v>2</v>
      </c>
      <c r="S258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91</v>
      </c>
      <c r="T258" s="120">
        <f>EDUVIAL_2023[[#This Row],[TOTAL SEXO]]</f>
        <v>91</v>
      </c>
      <c r="U258" s="106" t="str">
        <f>VLOOKUP(EDUVIAL_2023[[#This Row],[INSTITUCIÓN O EMPRESA]],LISTAS!$J$1:$M$85,3,0)</f>
        <v>Zona 9</v>
      </c>
      <c r="V258" s="106" t="str">
        <f>VLOOKUP(EDUVIAL_2023[[#This Row],[INSTITUCIÓN O EMPRESA]],LISTAS!$J$1:$M$85,4,0)</f>
        <v>Centro</v>
      </c>
      <c r="W258" s="125" t="str">
        <f>VLOOKUP(EDUVIAL_2023[[#This Row],[INSTITUCIÓN O EMPRESA]],LISTAS!$J$1:$M$85,2,0)</f>
        <v>6.168450558868997, -75.5896412723252</v>
      </c>
      <c r="X258" s="114" t="b">
        <f>EXACT(EDUVIAL_2023[[#This Row],[TOTAL SEXO]],EDUVIAL_2023[[#This Row],[TOTAL RANGOS]])</f>
        <v>1</v>
      </c>
      <c r="Y258" s="106"/>
    </row>
    <row r="259" spans="1:25">
      <c r="A259" s="128">
        <v>45930</v>
      </c>
      <c r="B259" s="108" t="s">
        <v>495</v>
      </c>
      <c r="C259" s="104" t="s">
        <v>36</v>
      </c>
      <c r="D259" s="104" t="s">
        <v>37</v>
      </c>
      <c r="E259" s="121" t="s">
        <v>38</v>
      </c>
      <c r="F259" s="104" t="s">
        <v>43</v>
      </c>
      <c r="G259" s="121" t="s">
        <v>574</v>
      </c>
      <c r="H259" s="121" t="s">
        <v>340</v>
      </c>
      <c r="I259" s="104" t="s">
        <v>575</v>
      </c>
      <c r="J259" s="125">
        <v>1</v>
      </c>
      <c r="K259" s="125">
        <v>0</v>
      </c>
      <c r="L259" s="112">
        <f>EDUVIAL_2023[[#This Row],[HOMBRE]]+EDUVIAL_2023[[#This Row],[MUJER]]</f>
        <v>1</v>
      </c>
      <c r="M259" s="249">
        <v>0</v>
      </c>
      <c r="N259" s="106">
        <v>0</v>
      </c>
      <c r="O259" s="106">
        <v>0</v>
      </c>
      <c r="P259" s="106">
        <v>0</v>
      </c>
      <c r="Q259" s="106">
        <v>1</v>
      </c>
      <c r="R259" s="106">
        <v>0</v>
      </c>
      <c r="S259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259" s="120">
        <f>EDUVIAL_2023[[#This Row],[TOTAL SEXO]]</f>
        <v>1</v>
      </c>
      <c r="U259" s="106" t="str">
        <f>VLOOKUP(EDUVIAL_2023[[#This Row],[INSTITUCIÓN O EMPRESA]],LISTAS!$J$1:$M$85,3,0)</f>
        <v>Zona 9</v>
      </c>
      <c r="V259" s="106" t="str">
        <f>VLOOKUP(EDUVIAL_2023[[#This Row],[INSTITUCIÓN O EMPRESA]],LISTAS!$J$1:$M$85,4,0)</f>
        <v>Centro</v>
      </c>
      <c r="W259" s="125" t="str">
        <f>VLOOKUP(EDUVIAL_2023[[#This Row],[INSTITUCIÓN O EMPRESA]],LISTAS!$J$1:$M$85,2,0)</f>
        <v>6.168450558868997, -75.5896412723252</v>
      </c>
      <c r="X259" s="114" t="b">
        <f>EXACT(EDUVIAL_2023[[#This Row],[TOTAL SEXO]],EDUVIAL_2023[[#This Row],[TOTAL RANGOS]])</f>
        <v>1</v>
      </c>
      <c r="Y259" s="106"/>
    </row>
    <row r="260" spans="1:25" ht="28.9">
      <c r="A260" s="128">
        <v>45931</v>
      </c>
      <c r="B260" s="108" t="s">
        <v>576</v>
      </c>
      <c r="C260" s="104" t="s">
        <v>176</v>
      </c>
      <c r="D260" s="104" t="s">
        <v>50</v>
      </c>
      <c r="E260" s="121" t="s">
        <v>69</v>
      </c>
      <c r="F260" s="104" t="s">
        <v>43</v>
      </c>
      <c r="G260" s="121" t="s">
        <v>577</v>
      </c>
      <c r="H260" s="121" t="s">
        <v>340</v>
      </c>
      <c r="I260" s="104" t="s">
        <v>578</v>
      </c>
      <c r="J260" s="125">
        <v>1</v>
      </c>
      <c r="K260" s="125">
        <v>3</v>
      </c>
      <c r="L260" s="112">
        <f>EDUVIAL_2023[[#This Row],[HOMBRE]]+EDUVIAL_2023[[#This Row],[MUJER]]</f>
        <v>4</v>
      </c>
      <c r="M260" s="135">
        <v>0</v>
      </c>
      <c r="N260" s="106">
        <v>0</v>
      </c>
      <c r="O260" s="106">
        <v>0</v>
      </c>
      <c r="P260" s="106">
        <v>0</v>
      </c>
      <c r="Q260" s="106">
        <v>4</v>
      </c>
      <c r="R260" s="106">
        <v>0</v>
      </c>
      <c r="S260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4</v>
      </c>
      <c r="T260" s="120">
        <f>EDUVIAL_2023[[#This Row],[TOTAL SEXO]]</f>
        <v>4</v>
      </c>
      <c r="U260" s="106" t="str">
        <f>VLOOKUP(EDUVIAL_2023[[#This Row],[INSTITUCIÓN O EMPRESA]],LISTAS!$J$1:$M$85,3,0)</f>
        <v>Zona 9</v>
      </c>
      <c r="V260" s="106" t="str">
        <f>VLOOKUP(EDUVIAL_2023[[#This Row],[INSTITUCIÓN O EMPRESA]],LISTAS!$J$1:$M$85,4,0)</f>
        <v>Centro</v>
      </c>
      <c r="W260" s="125" t="str">
        <f>VLOOKUP(EDUVIAL_2023[[#This Row],[INSTITUCIÓN O EMPRESA]],LISTAS!$J$1:$M$85,2,0)</f>
        <v>6.168450558868997, -75.5896412723252</v>
      </c>
      <c r="X260" s="114" t="b">
        <f>EXACT(EDUVIAL_2023[[#This Row],[TOTAL SEXO]],EDUVIAL_2023[[#This Row],[TOTAL RANGOS]])</f>
        <v>1</v>
      </c>
      <c r="Y260" s="106"/>
    </row>
    <row r="261" spans="1:25" ht="43.15">
      <c r="A261" s="128">
        <v>45931</v>
      </c>
      <c r="B261" s="108" t="s">
        <v>576</v>
      </c>
      <c r="C261" s="104" t="s">
        <v>176</v>
      </c>
      <c r="D261" s="104" t="s">
        <v>226</v>
      </c>
      <c r="E261" s="121" t="s">
        <v>51</v>
      </c>
      <c r="F261" s="104" t="s">
        <v>346</v>
      </c>
      <c r="G261" s="121" t="s">
        <v>579</v>
      </c>
      <c r="H261" s="121" t="s">
        <v>340</v>
      </c>
      <c r="I261" s="104" t="s">
        <v>573</v>
      </c>
      <c r="J261" s="125">
        <v>32</v>
      </c>
      <c r="K261" s="125">
        <v>33</v>
      </c>
      <c r="L261" s="112">
        <f>EDUVIAL_2023[[#This Row],[HOMBRE]]+EDUVIAL_2023[[#This Row],[MUJER]]</f>
        <v>65</v>
      </c>
      <c r="M261" s="249">
        <v>0</v>
      </c>
      <c r="N261" s="106">
        <v>62</v>
      </c>
      <c r="O261" s="106">
        <v>0</v>
      </c>
      <c r="P261" s="106">
        <v>0</v>
      </c>
      <c r="Q261" s="106">
        <v>3</v>
      </c>
      <c r="R261" s="106">
        <v>0</v>
      </c>
      <c r="S261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65</v>
      </c>
      <c r="T261" s="120">
        <f>EDUVIAL_2023[[#This Row],[TOTAL SEXO]]</f>
        <v>65</v>
      </c>
      <c r="U261" s="106" t="str">
        <f>VLOOKUP(EDUVIAL_2023[[#This Row],[INSTITUCIÓN O EMPRESA]],LISTAS!$J$1:$M$85,3,0)</f>
        <v>Zona 9</v>
      </c>
      <c r="V261" s="106" t="str">
        <f>VLOOKUP(EDUVIAL_2023[[#This Row],[INSTITUCIÓN O EMPRESA]],LISTAS!$J$1:$M$85,4,0)</f>
        <v>Centro</v>
      </c>
      <c r="W261" s="125" t="str">
        <f>VLOOKUP(EDUVIAL_2023[[#This Row],[INSTITUCIÓN O EMPRESA]],LISTAS!$J$1:$M$85,2,0)</f>
        <v>6.168450558868997, -75.5896412723252</v>
      </c>
      <c r="X261" s="114" t="b">
        <f>EXACT(EDUVIAL_2023[[#This Row],[TOTAL SEXO]],EDUVIAL_2023[[#This Row],[TOTAL RANGOS]])</f>
        <v>1</v>
      </c>
      <c r="Y261" s="106"/>
    </row>
    <row r="262" spans="1:25" ht="43.15">
      <c r="A262" s="128">
        <v>45932</v>
      </c>
      <c r="B262" s="108" t="s">
        <v>576</v>
      </c>
      <c r="C262" s="104" t="s">
        <v>176</v>
      </c>
      <c r="D262" s="104" t="s">
        <v>226</v>
      </c>
      <c r="E262" s="121" t="s">
        <v>51</v>
      </c>
      <c r="F262" s="104" t="s">
        <v>346</v>
      </c>
      <c r="G262" s="121" t="s">
        <v>580</v>
      </c>
      <c r="H262" s="121" t="s">
        <v>340</v>
      </c>
      <c r="I262" s="104" t="s">
        <v>573</v>
      </c>
      <c r="J262" s="125">
        <v>42</v>
      </c>
      <c r="K262" s="125">
        <v>40</v>
      </c>
      <c r="L262" s="112">
        <f>EDUVIAL_2023[[#This Row],[HOMBRE]]+EDUVIAL_2023[[#This Row],[MUJER]]</f>
        <v>82</v>
      </c>
      <c r="M262" s="249">
        <v>0</v>
      </c>
      <c r="N262" s="106">
        <v>77</v>
      </c>
      <c r="O262" s="106">
        <v>0</v>
      </c>
      <c r="P262" s="106">
        <v>1</v>
      </c>
      <c r="Q262" s="106">
        <v>3</v>
      </c>
      <c r="R262" s="106">
        <v>1</v>
      </c>
      <c r="S262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82</v>
      </c>
      <c r="T262" s="120">
        <f>EDUVIAL_2023[[#This Row],[TOTAL SEXO]]</f>
        <v>82</v>
      </c>
      <c r="U262" s="106" t="str">
        <f>VLOOKUP(EDUVIAL_2023[[#This Row],[INSTITUCIÓN O EMPRESA]],LISTAS!$J$1:$M$85,3,0)</f>
        <v>Zona 9</v>
      </c>
      <c r="V262" s="106" t="str">
        <f>VLOOKUP(EDUVIAL_2023[[#This Row],[INSTITUCIÓN O EMPRESA]],LISTAS!$J$1:$M$85,4,0)</f>
        <v>Centro</v>
      </c>
      <c r="W262" s="125" t="str">
        <f>VLOOKUP(EDUVIAL_2023[[#This Row],[INSTITUCIÓN O EMPRESA]],LISTAS!$J$1:$M$85,2,0)</f>
        <v>6.168450558868997, -75.5896412723252</v>
      </c>
      <c r="X262" s="114" t="b">
        <f>EXACT(EDUVIAL_2023[[#This Row],[TOTAL SEXO]],EDUVIAL_2023[[#This Row],[TOTAL RANGOS]])</f>
        <v>1</v>
      </c>
      <c r="Y262" s="106"/>
    </row>
    <row r="263" spans="1:25">
      <c r="A263" s="128">
        <v>45932</v>
      </c>
      <c r="B263" s="108" t="s">
        <v>576</v>
      </c>
      <c r="C263" s="104" t="s">
        <v>176</v>
      </c>
      <c r="D263" s="104" t="s">
        <v>148</v>
      </c>
      <c r="E263" s="121" t="s">
        <v>94</v>
      </c>
      <c r="F263" s="104" t="s">
        <v>29</v>
      </c>
      <c r="G263" s="121" t="s">
        <v>581</v>
      </c>
      <c r="H263" s="121" t="s">
        <v>340</v>
      </c>
      <c r="I263" s="104" t="s">
        <v>564</v>
      </c>
      <c r="J263" s="125">
        <v>4</v>
      </c>
      <c r="K263" s="125">
        <v>2</v>
      </c>
      <c r="L263" s="112">
        <f>EDUVIAL_2023[[#This Row],[HOMBRE]]+EDUVIAL_2023[[#This Row],[MUJER]]</f>
        <v>6</v>
      </c>
      <c r="M263" s="249">
        <v>0</v>
      </c>
      <c r="N263" s="106">
        <v>0</v>
      </c>
      <c r="O263" s="106">
        <v>0</v>
      </c>
      <c r="P263" s="106">
        <v>2</v>
      </c>
      <c r="Q263" s="106">
        <v>4</v>
      </c>
      <c r="R263" s="106">
        <v>0</v>
      </c>
      <c r="S263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6</v>
      </c>
      <c r="T263" s="120">
        <f>EDUVIAL_2023[[#This Row],[TOTAL SEXO]]</f>
        <v>6</v>
      </c>
      <c r="U263" s="106" t="str">
        <f>VLOOKUP(EDUVIAL_2023[[#This Row],[INSTITUCIÓN O EMPRESA]],LISTAS!$J$1:$M$85,3,0)</f>
        <v>Zona 9</v>
      </c>
      <c r="V263" s="106" t="str">
        <f>VLOOKUP(EDUVIAL_2023[[#This Row],[INSTITUCIÓN O EMPRESA]],LISTAS!$J$1:$M$85,4,0)</f>
        <v>Centro</v>
      </c>
      <c r="W263" s="125" t="str">
        <f>VLOOKUP(EDUVIAL_2023[[#This Row],[INSTITUCIÓN O EMPRESA]],LISTAS!$J$1:$M$85,2,0)</f>
        <v>6.168450558868997, -75.5896412723252</v>
      </c>
      <c r="X263" s="114" t="b">
        <f>EXACT(EDUVIAL_2023[[#This Row],[TOTAL SEXO]],EDUVIAL_2023[[#This Row],[TOTAL RANGOS]])</f>
        <v>1</v>
      </c>
      <c r="Y263" s="106"/>
    </row>
    <row r="264" spans="1:25" ht="28.9">
      <c r="A264" s="128">
        <v>45932</v>
      </c>
      <c r="B264" s="108" t="s">
        <v>576</v>
      </c>
      <c r="C264" s="104" t="s">
        <v>582</v>
      </c>
      <c r="D264" s="104" t="s">
        <v>583</v>
      </c>
      <c r="E264" s="121" t="s">
        <v>51</v>
      </c>
      <c r="F264" s="104" t="s">
        <v>240</v>
      </c>
      <c r="G264" s="121" t="s">
        <v>584</v>
      </c>
      <c r="H264" s="121" t="s">
        <v>585</v>
      </c>
      <c r="I264" s="104" t="s">
        <v>586</v>
      </c>
      <c r="J264" s="125">
        <v>3</v>
      </c>
      <c r="K264" s="125">
        <v>64</v>
      </c>
      <c r="L264" s="112">
        <f>EDUVIAL_2023[[#This Row],[HOMBRE]]+EDUVIAL_2023[[#This Row],[MUJER]]</f>
        <v>67</v>
      </c>
      <c r="M264" s="249">
        <v>0</v>
      </c>
      <c r="N264" s="106">
        <v>0</v>
      </c>
      <c r="O264" s="106">
        <v>0</v>
      </c>
      <c r="P264" s="106">
        <v>0</v>
      </c>
      <c r="Q264" s="106">
        <v>0</v>
      </c>
      <c r="R264" s="106">
        <v>67</v>
      </c>
      <c r="S26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67</v>
      </c>
      <c r="T264" s="120">
        <f>EDUVIAL_2023[[#This Row],[TOTAL SEXO]]</f>
        <v>67</v>
      </c>
      <c r="U264" s="212" t="str">
        <f>$U$266</f>
        <v>Zona 9</v>
      </c>
      <c r="V264" s="106" t="s">
        <v>108</v>
      </c>
      <c r="W264" s="125" t="s">
        <v>587</v>
      </c>
      <c r="X264" s="114" t="b">
        <f>EXACT(EDUVIAL_2023[[#This Row],[TOTAL SEXO]],EDUVIAL_2023[[#This Row],[TOTAL RANGOS]])</f>
        <v>1</v>
      </c>
      <c r="Y264" s="106"/>
    </row>
    <row r="265" spans="1:25" ht="43.15">
      <c r="A265" s="128">
        <v>45933</v>
      </c>
      <c r="B265" s="115" t="s">
        <v>576</v>
      </c>
      <c r="C265" s="129" t="s">
        <v>176</v>
      </c>
      <c r="D265" s="129" t="s">
        <v>588</v>
      </c>
      <c r="E265" s="130" t="s">
        <v>51</v>
      </c>
      <c r="F265" s="129" t="s">
        <v>346</v>
      </c>
      <c r="G265" s="121" t="s">
        <v>589</v>
      </c>
      <c r="H265" s="130" t="s">
        <v>340</v>
      </c>
      <c r="I265" s="104" t="s">
        <v>573</v>
      </c>
      <c r="J265" s="166">
        <v>14</v>
      </c>
      <c r="K265" s="166">
        <v>6</v>
      </c>
      <c r="L265" s="131">
        <f>EDUVIAL_2023[[#This Row],[HOMBRE]]+EDUVIAL_2023[[#This Row],[MUJER]]</f>
        <v>20</v>
      </c>
      <c r="M265" s="250">
        <v>0</v>
      </c>
      <c r="N265" s="116">
        <v>19</v>
      </c>
      <c r="O265" s="116">
        <v>0</v>
      </c>
      <c r="P265" s="116">
        <v>0</v>
      </c>
      <c r="Q265" s="116">
        <v>1</v>
      </c>
      <c r="R265" s="116">
        <v>0</v>
      </c>
      <c r="S26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20</v>
      </c>
      <c r="T265" s="132">
        <f>EDUVIAL_2023[[#This Row],[TOTAL SEXO]]</f>
        <v>20</v>
      </c>
      <c r="U265" s="116" t="str">
        <f>VLOOKUP(EDUVIAL_2023[[#This Row],[INSTITUCIÓN O EMPRESA]],LISTAS!$J$1:$M$85,3,0)</f>
        <v>Zona 9</v>
      </c>
      <c r="V265" s="116" t="str">
        <f>VLOOKUP(EDUVIAL_2023[[#This Row],[INSTITUCIÓN O EMPRESA]],LISTAS!$J$1:$M$85,4,0)</f>
        <v>Centro</v>
      </c>
      <c r="W265" s="166" t="str">
        <f>VLOOKUP(EDUVIAL_2023[[#This Row],[INSTITUCIÓN O EMPRESA]],LISTAS!$J$1:$M$85,2,0)</f>
        <v>6.168450558868997, -75.5896412723252</v>
      </c>
      <c r="X265" s="117" t="b">
        <f>EXACT(EDUVIAL_2023[[#This Row],[TOTAL SEXO]],EDUVIAL_2023[[#This Row],[TOTAL RANGOS]])</f>
        <v>1</v>
      </c>
      <c r="Y265" s="116"/>
    </row>
    <row r="266" spans="1:25" ht="43.15">
      <c r="A266" s="128">
        <v>45933</v>
      </c>
      <c r="B266" s="115" t="s">
        <v>576</v>
      </c>
      <c r="C266" s="104" t="s">
        <v>176</v>
      </c>
      <c r="D266" s="104" t="s">
        <v>226</v>
      </c>
      <c r="E266" s="121" t="s">
        <v>51</v>
      </c>
      <c r="F266" s="104" t="s">
        <v>43</v>
      </c>
      <c r="G266" s="121" t="s">
        <v>590</v>
      </c>
      <c r="H266" s="121" t="s">
        <v>340</v>
      </c>
      <c r="I266" s="104" t="s">
        <v>591</v>
      </c>
      <c r="J266" s="125">
        <v>14</v>
      </c>
      <c r="K266" s="125">
        <v>14</v>
      </c>
      <c r="L266" s="112">
        <f>EDUVIAL_2023[[#This Row],[HOMBRE]]+EDUVIAL_2023[[#This Row],[MUJER]]</f>
        <v>28</v>
      </c>
      <c r="M266" s="249">
        <v>0</v>
      </c>
      <c r="N266" s="106">
        <v>27</v>
      </c>
      <c r="O266" s="106">
        <v>0</v>
      </c>
      <c r="P266" s="106">
        <v>0</v>
      </c>
      <c r="Q266" s="106">
        <v>1</v>
      </c>
      <c r="R266" s="106">
        <v>0</v>
      </c>
      <c r="S26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28</v>
      </c>
      <c r="T266" s="120">
        <f>EDUVIAL_2023[[#This Row],[TOTAL SEXO]]</f>
        <v>28</v>
      </c>
      <c r="U266" s="116" t="str">
        <f>VLOOKUP(EDUVIAL_2023[[#This Row],[INSTITUCIÓN O EMPRESA]],LISTAS!$J$1:$M$85,3,0)</f>
        <v>Zona 9</v>
      </c>
      <c r="V266" s="116" t="str">
        <f>VLOOKUP(EDUVIAL_2023[[#This Row],[INSTITUCIÓN O EMPRESA]],LISTAS!$J$1:$M$85,4,0)</f>
        <v>Centro</v>
      </c>
      <c r="W266" s="166" t="str">
        <f>VLOOKUP(EDUVIAL_2023[[#This Row],[INSTITUCIÓN O EMPRESA]],LISTAS!$J$1:$M$85,2,0)</f>
        <v>6.168450558868997, -75.5896412723252</v>
      </c>
      <c r="X266" s="114" t="b">
        <f>EXACT(EDUVIAL_2023[[#This Row],[TOTAL SEXO]],EDUVIAL_2023[[#This Row],[TOTAL RANGOS]])</f>
        <v>1</v>
      </c>
      <c r="Y266" s="106"/>
    </row>
    <row r="267" spans="1:25">
      <c r="A267" s="150">
        <v>45936</v>
      </c>
      <c r="B267" s="108" t="s">
        <v>576</v>
      </c>
      <c r="C267" s="104" t="s">
        <v>106</v>
      </c>
      <c r="D267" s="104" t="s">
        <v>368</v>
      </c>
      <c r="E267" s="121" t="s">
        <v>491</v>
      </c>
      <c r="F267" s="104" t="s">
        <v>346</v>
      </c>
      <c r="G267" s="121" t="s">
        <v>592</v>
      </c>
      <c r="H267" s="121" t="s">
        <v>593</v>
      </c>
      <c r="I267" s="104" t="s">
        <v>346</v>
      </c>
      <c r="J267" s="125"/>
      <c r="K267" s="125"/>
      <c r="L267" s="112">
        <f>EDUVIAL_2023[[#This Row],[HOMBRE]]+EDUVIAL_2023[[#This Row],[MUJER]]</f>
        <v>0</v>
      </c>
      <c r="M267" s="249"/>
      <c r="N267" s="106"/>
      <c r="O267" s="106"/>
      <c r="P267" s="106"/>
      <c r="Q267" s="106"/>
      <c r="R267" s="106"/>
      <c r="S26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0</v>
      </c>
      <c r="T267" s="120">
        <f>EDUVIAL_2023[[#This Row],[TOTAL SEXO]]</f>
        <v>0</v>
      </c>
      <c r="U267" s="106" t="s">
        <v>64</v>
      </c>
      <c r="V267" s="106" t="s">
        <v>65</v>
      </c>
      <c r="W267" s="125" t="s">
        <v>594</v>
      </c>
      <c r="X267" s="114" t="b">
        <f>EXACT(EDUVIAL_2023[[#This Row],[TOTAL SEXO]],EDUVIAL_2023[[#This Row],[TOTAL RANGOS]])</f>
        <v>1</v>
      </c>
      <c r="Y267" s="106"/>
    </row>
    <row r="268" spans="1:25" ht="28.9">
      <c r="A268" s="150">
        <v>45936</v>
      </c>
      <c r="B268" s="108" t="s">
        <v>576</v>
      </c>
      <c r="C268" s="104" t="s">
        <v>67</v>
      </c>
      <c r="D268" s="104" t="s">
        <v>86</v>
      </c>
      <c r="E268" s="121" t="s">
        <v>51</v>
      </c>
      <c r="F268" s="104" t="s">
        <v>346</v>
      </c>
      <c r="G268" s="121" t="s">
        <v>475</v>
      </c>
      <c r="H268" s="130" t="s">
        <v>595</v>
      </c>
      <c r="I268" s="104" t="s">
        <v>596</v>
      </c>
      <c r="J268" s="125">
        <v>0</v>
      </c>
      <c r="K268" s="125">
        <v>9</v>
      </c>
      <c r="L268" s="112">
        <f>EDUVIAL_2023[[#This Row],[HOMBRE]]+EDUVIAL_2023[[#This Row],[MUJER]]</f>
        <v>9</v>
      </c>
      <c r="M268" s="249">
        <v>0</v>
      </c>
      <c r="N268" s="106">
        <v>0</v>
      </c>
      <c r="O268" s="106">
        <v>0</v>
      </c>
      <c r="P268" s="106">
        <v>1</v>
      </c>
      <c r="Q268" s="106">
        <v>8</v>
      </c>
      <c r="R268" s="106">
        <v>0</v>
      </c>
      <c r="S268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9</v>
      </c>
      <c r="T268" s="120">
        <f>EDUVIAL_2023[[#This Row],[TOTAL SEXO]]</f>
        <v>9</v>
      </c>
      <c r="U268" s="106" t="s">
        <v>55</v>
      </c>
      <c r="V268" s="106" t="s">
        <v>597</v>
      </c>
      <c r="W268" s="125" t="s">
        <v>598</v>
      </c>
      <c r="X268" s="114" t="b">
        <f>EXACT(EDUVIAL_2023[[#This Row],[TOTAL SEXO]],EDUVIAL_2023[[#This Row],[TOTAL RANGOS]])</f>
        <v>1</v>
      </c>
      <c r="Y268" s="106"/>
    </row>
    <row r="269" spans="1:25">
      <c r="A269" s="150">
        <v>45937</v>
      </c>
      <c r="B269" s="108" t="s">
        <v>576</v>
      </c>
      <c r="C269" s="104" t="s">
        <v>106</v>
      </c>
      <c r="D269" s="104" t="s">
        <v>368</v>
      </c>
      <c r="E269" s="121" t="s">
        <v>491</v>
      </c>
      <c r="F269" s="104" t="s">
        <v>346</v>
      </c>
      <c r="G269" s="121" t="s">
        <v>592</v>
      </c>
      <c r="H269" s="121" t="s">
        <v>593</v>
      </c>
      <c r="I269" s="104" t="s">
        <v>346</v>
      </c>
      <c r="J269" s="125"/>
      <c r="K269" s="125"/>
      <c r="L269" s="112">
        <f>EDUVIAL_2023[[#This Row],[HOMBRE]]+EDUVIAL_2023[[#This Row],[MUJER]]</f>
        <v>0</v>
      </c>
      <c r="M269" s="249"/>
      <c r="N269" s="106"/>
      <c r="O269" s="106"/>
      <c r="P269" s="106"/>
      <c r="Q269" s="106"/>
      <c r="R269" s="106"/>
      <c r="S269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0</v>
      </c>
      <c r="T269" s="120">
        <f>EDUVIAL_2023[[#This Row],[TOTAL SEXO]]</f>
        <v>0</v>
      </c>
      <c r="U269" s="106" t="s">
        <v>64</v>
      </c>
      <c r="V269" s="106" t="s">
        <v>65</v>
      </c>
      <c r="W269" s="125" t="s">
        <v>594</v>
      </c>
      <c r="X269" s="114" t="b">
        <f>EXACT(EDUVIAL_2023[[#This Row],[TOTAL SEXO]],EDUVIAL_2023[[#This Row],[TOTAL RANGOS]])</f>
        <v>1</v>
      </c>
      <c r="Y269" s="106"/>
    </row>
    <row r="270" spans="1:25" ht="28.9">
      <c r="A270" s="150">
        <v>45937</v>
      </c>
      <c r="B270" s="115" t="s">
        <v>576</v>
      </c>
      <c r="C270" s="129" t="s">
        <v>49</v>
      </c>
      <c r="D270" s="129" t="s">
        <v>89</v>
      </c>
      <c r="E270" s="130" t="s">
        <v>51</v>
      </c>
      <c r="F270" s="129" t="s">
        <v>79</v>
      </c>
      <c r="G270" s="130" t="s">
        <v>599</v>
      </c>
      <c r="H270" s="121" t="s">
        <v>525</v>
      </c>
      <c r="I270" s="129" t="s">
        <v>526</v>
      </c>
      <c r="J270" s="166">
        <v>13</v>
      </c>
      <c r="K270" s="166">
        <v>1</v>
      </c>
      <c r="L270" s="131">
        <f>EDUVIAL_2023[[#This Row],[HOMBRE]]+EDUVIAL_2023[[#This Row],[MUJER]]</f>
        <v>14</v>
      </c>
      <c r="M270" s="250">
        <v>0</v>
      </c>
      <c r="N270" s="116">
        <v>0</v>
      </c>
      <c r="O270" s="116">
        <v>0</v>
      </c>
      <c r="P270" s="116">
        <v>6</v>
      </c>
      <c r="Q270" s="116">
        <v>8</v>
      </c>
      <c r="R270" s="116">
        <v>0</v>
      </c>
      <c r="S270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14</v>
      </c>
      <c r="T270" s="132">
        <f>EDUVIAL_2023[[#This Row],[TOTAL SEXO]]</f>
        <v>14</v>
      </c>
      <c r="U270" s="106" t="s">
        <v>33</v>
      </c>
      <c r="V270" s="106" t="s">
        <v>34</v>
      </c>
      <c r="W270" s="125" t="s">
        <v>527</v>
      </c>
      <c r="X270" s="117" t="b">
        <f>EXACT(EDUVIAL_2023[[#This Row],[TOTAL SEXO]],EDUVIAL_2023[[#This Row],[TOTAL RANGOS]])</f>
        <v>1</v>
      </c>
      <c r="Y270" s="116"/>
    </row>
    <row r="271" spans="1:25" ht="43.15">
      <c r="A271" s="150">
        <v>45938</v>
      </c>
      <c r="B271" s="115" t="s">
        <v>576</v>
      </c>
      <c r="C271" s="129" t="s">
        <v>176</v>
      </c>
      <c r="D271" s="129" t="s">
        <v>239</v>
      </c>
      <c r="E271" s="130" t="s">
        <v>51</v>
      </c>
      <c r="F271" s="129" t="s">
        <v>240</v>
      </c>
      <c r="G271" s="121" t="s">
        <v>600</v>
      </c>
      <c r="H271" s="130" t="s">
        <v>340</v>
      </c>
      <c r="I271" s="129" t="s">
        <v>601</v>
      </c>
      <c r="J271" s="166">
        <v>7</v>
      </c>
      <c r="K271" s="166">
        <v>8</v>
      </c>
      <c r="L271" s="131">
        <f>EDUVIAL_2023[[#This Row],[HOMBRE]]+EDUVIAL_2023[[#This Row],[MUJER]]</f>
        <v>15</v>
      </c>
      <c r="M271" s="250">
        <v>0</v>
      </c>
      <c r="N271" s="116">
        <v>13</v>
      </c>
      <c r="O271" s="116">
        <v>0</v>
      </c>
      <c r="P271" s="116">
        <v>2</v>
      </c>
      <c r="Q271" s="116">
        <v>0</v>
      </c>
      <c r="R271" s="116">
        <v>0</v>
      </c>
      <c r="S271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15</v>
      </c>
      <c r="T271" s="132">
        <f>EDUVIAL_2023[[#This Row],[TOTAL SEXO]]</f>
        <v>15</v>
      </c>
      <c r="U271" s="116" t="str">
        <f>VLOOKUP(EDUVIAL_2023[[#This Row],[INSTITUCIÓN O EMPRESA]],LISTAS!$J$1:$M$85,3,0)</f>
        <v>Zona 9</v>
      </c>
      <c r="V271" s="116" t="str">
        <f>VLOOKUP(EDUVIAL_2023[[#This Row],[INSTITUCIÓN O EMPRESA]],LISTAS!$J$1:$M$85,4,0)</f>
        <v>Centro</v>
      </c>
      <c r="W271" s="166" t="str">
        <f>VLOOKUP(EDUVIAL_2023[[#This Row],[INSTITUCIÓN O EMPRESA]],LISTAS!$J$1:$M$85,2,0)</f>
        <v>6.168450558868997, -75.5896412723252</v>
      </c>
      <c r="X271" s="117" t="b">
        <f>EXACT(EDUVIAL_2023[[#This Row],[TOTAL SEXO]],EDUVIAL_2023[[#This Row],[TOTAL RANGOS]])</f>
        <v>1</v>
      </c>
      <c r="Y271" s="116"/>
    </row>
    <row r="272" spans="1:25" ht="28.9">
      <c r="A272" s="150">
        <v>45938</v>
      </c>
      <c r="B272" s="115" t="s">
        <v>576</v>
      </c>
      <c r="C272" s="129" t="s">
        <v>49</v>
      </c>
      <c r="D272" s="129" t="s">
        <v>89</v>
      </c>
      <c r="E272" s="130" t="s">
        <v>51</v>
      </c>
      <c r="F272" s="129" t="s">
        <v>79</v>
      </c>
      <c r="G272" s="130" t="s">
        <v>599</v>
      </c>
      <c r="H272" s="121" t="s">
        <v>525</v>
      </c>
      <c r="I272" s="129" t="s">
        <v>526</v>
      </c>
      <c r="J272" s="166">
        <v>13</v>
      </c>
      <c r="K272" s="166">
        <v>3</v>
      </c>
      <c r="L272" s="131">
        <f>EDUVIAL_2023[[#This Row],[HOMBRE]]+EDUVIAL_2023[[#This Row],[MUJER]]</f>
        <v>16</v>
      </c>
      <c r="M272" s="250">
        <v>0</v>
      </c>
      <c r="N272" s="116">
        <v>0</v>
      </c>
      <c r="O272" s="116">
        <v>0</v>
      </c>
      <c r="P272" s="116">
        <v>0</v>
      </c>
      <c r="Q272" s="116">
        <v>16</v>
      </c>
      <c r="R272" s="116">
        <v>0</v>
      </c>
      <c r="S272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16</v>
      </c>
      <c r="T272" s="132">
        <f>EDUVIAL_2023[[#This Row],[TOTAL SEXO]]</f>
        <v>16</v>
      </c>
      <c r="U272" s="106" t="s">
        <v>33</v>
      </c>
      <c r="V272" s="106" t="s">
        <v>34</v>
      </c>
      <c r="W272" s="125" t="s">
        <v>527</v>
      </c>
      <c r="X272" s="117" t="b">
        <f>EXACT(EDUVIAL_2023[[#This Row],[TOTAL SEXO]],EDUVIAL_2023[[#This Row],[TOTAL RANGOS]])</f>
        <v>1</v>
      </c>
      <c r="Y272" s="116"/>
    </row>
    <row r="273" spans="1:25" ht="28.9">
      <c r="A273" s="150">
        <v>45938</v>
      </c>
      <c r="B273" s="115" t="s">
        <v>576</v>
      </c>
      <c r="C273" s="129" t="s">
        <v>49</v>
      </c>
      <c r="D273" s="129" t="s">
        <v>89</v>
      </c>
      <c r="E273" s="130" t="s">
        <v>51</v>
      </c>
      <c r="F273" s="129" t="s">
        <v>79</v>
      </c>
      <c r="G273" s="121" t="s">
        <v>51</v>
      </c>
      <c r="H273" s="121" t="s">
        <v>602</v>
      </c>
      <c r="I273" s="129" t="s">
        <v>506</v>
      </c>
      <c r="J273" s="166">
        <v>5</v>
      </c>
      <c r="K273" s="166">
        <v>3</v>
      </c>
      <c r="L273" s="131">
        <f>EDUVIAL_2023[[#This Row],[HOMBRE]]+EDUVIAL_2023[[#This Row],[MUJER]]</f>
        <v>8</v>
      </c>
      <c r="M273" s="250">
        <v>0</v>
      </c>
      <c r="N273" s="116">
        <v>0</v>
      </c>
      <c r="O273" s="116">
        <v>0</v>
      </c>
      <c r="P273" s="116">
        <v>0</v>
      </c>
      <c r="Q273" s="116">
        <v>7</v>
      </c>
      <c r="R273" s="116">
        <v>1</v>
      </c>
      <c r="S273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8</v>
      </c>
      <c r="T273" s="132">
        <f>EDUVIAL_2023[[#This Row],[TOTAL SEXO]]</f>
        <v>8</v>
      </c>
      <c r="U273" s="79" t="s">
        <v>73</v>
      </c>
      <c r="V273" s="116" t="s">
        <v>210</v>
      </c>
      <c r="W273" s="166" t="s">
        <v>603</v>
      </c>
      <c r="X273" s="117" t="b">
        <f>EXACT(EDUVIAL_2023[[#This Row],[TOTAL SEXO]],EDUVIAL_2023[[#This Row],[TOTAL RANGOS]])</f>
        <v>1</v>
      </c>
      <c r="Y273" s="116"/>
    </row>
    <row r="274" spans="1:25">
      <c r="A274" s="150">
        <v>45938</v>
      </c>
      <c r="B274" s="115" t="s">
        <v>576</v>
      </c>
      <c r="C274" s="129" t="s">
        <v>49</v>
      </c>
      <c r="D274" s="129" t="s">
        <v>89</v>
      </c>
      <c r="E274" s="130" t="s">
        <v>69</v>
      </c>
      <c r="F274" s="129" t="s">
        <v>79</v>
      </c>
      <c r="G274" s="121" t="s">
        <v>604</v>
      </c>
      <c r="H274" s="121" t="s">
        <v>605</v>
      </c>
      <c r="I274" s="129" t="s">
        <v>606</v>
      </c>
      <c r="J274" s="166">
        <v>1</v>
      </c>
      <c r="K274" s="166">
        <v>1</v>
      </c>
      <c r="L274" s="131">
        <f>EDUVIAL_2023[[#This Row],[HOMBRE]]+EDUVIAL_2023[[#This Row],[MUJER]]</f>
        <v>2</v>
      </c>
      <c r="M274" s="250">
        <v>0</v>
      </c>
      <c r="N274" s="116">
        <v>0</v>
      </c>
      <c r="O274" s="116">
        <v>0</v>
      </c>
      <c r="P274" s="116">
        <v>1</v>
      </c>
      <c r="Q274" s="116">
        <v>1</v>
      </c>
      <c r="R274" s="116">
        <v>0</v>
      </c>
      <c r="S27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</v>
      </c>
      <c r="T274" s="132">
        <f>EDUVIAL_2023[[#This Row],[TOTAL SEXO]]</f>
        <v>2</v>
      </c>
      <c r="U274" s="106" t="s">
        <v>64</v>
      </c>
      <c r="V274" s="116" t="s">
        <v>65</v>
      </c>
      <c r="W274" s="166" t="s">
        <v>607</v>
      </c>
      <c r="X274" s="117" t="b">
        <f>EXACT(EDUVIAL_2023[[#This Row],[TOTAL SEXO]],EDUVIAL_2023[[#This Row],[TOTAL RANGOS]])</f>
        <v>1</v>
      </c>
      <c r="Y274" s="116"/>
    </row>
    <row r="275" spans="1:25" ht="28.9">
      <c r="A275" s="150">
        <v>45940</v>
      </c>
      <c r="B275" s="115" t="s">
        <v>576</v>
      </c>
      <c r="C275" s="129" t="s">
        <v>36</v>
      </c>
      <c r="D275" s="129" t="s">
        <v>217</v>
      </c>
      <c r="E275" s="130" t="s">
        <v>128</v>
      </c>
      <c r="F275" s="129" t="s">
        <v>240</v>
      </c>
      <c r="G275" s="130" t="s">
        <v>608</v>
      </c>
      <c r="H275" s="130" t="s">
        <v>609</v>
      </c>
      <c r="I275" s="129" t="s">
        <v>288</v>
      </c>
      <c r="J275" s="166">
        <v>6</v>
      </c>
      <c r="K275" s="166">
        <v>9</v>
      </c>
      <c r="L275" s="131">
        <f>EDUVIAL_2023[[#This Row],[HOMBRE]]+EDUVIAL_2023[[#This Row],[MUJER]]</f>
        <v>15</v>
      </c>
      <c r="M275" s="250">
        <v>0</v>
      </c>
      <c r="N275" s="116">
        <v>0</v>
      </c>
      <c r="O275" s="116">
        <v>0</v>
      </c>
      <c r="P275" s="116">
        <v>2</v>
      </c>
      <c r="Q275" s="116">
        <v>13</v>
      </c>
      <c r="R275" s="116">
        <v>0</v>
      </c>
      <c r="S27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15</v>
      </c>
      <c r="T275" s="132">
        <f>EDUVIAL_2023[[#This Row],[TOTAL SEXO]]</f>
        <v>15</v>
      </c>
      <c r="U275" s="106" t="s">
        <v>610</v>
      </c>
      <c r="V275" s="116" t="s">
        <v>611</v>
      </c>
      <c r="W275" s="166" t="s">
        <v>612</v>
      </c>
      <c r="X275" s="117" t="b">
        <f>EXACT(EDUVIAL_2023[[#This Row],[TOTAL SEXO]],EDUVIAL_2023[[#This Row],[TOTAL RANGOS]])</f>
        <v>1</v>
      </c>
      <c r="Y275" s="116"/>
    </row>
    <row r="276" spans="1:25" ht="43.15">
      <c r="A276" s="150">
        <v>45944</v>
      </c>
      <c r="B276" s="115" t="s">
        <v>576</v>
      </c>
      <c r="C276" s="129" t="s">
        <v>67</v>
      </c>
      <c r="D276" s="129" t="s">
        <v>254</v>
      </c>
      <c r="E276" s="130" t="s">
        <v>51</v>
      </c>
      <c r="F276" s="129" t="s">
        <v>240</v>
      </c>
      <c r="G276" s="121" t="s">
        <v>613</v>
      </c>
      <c r="H276" s="130" t="s">
        <v>75</v>
      </c>
      <c r="I276" s="129" t="s">
        <v>469</v>
      </c>
      <c r="J276" s="166">
        <v>234</v>
      </c>
      <c r="K276" s="166">
        <v>187</v>
      </c>
      <c r="L276" s="131">
        <f>EDUVIAL_2023[[#This Row],[HOMBRE]]+EDUVIAL_2023[[#This Row],[MUJER]]</f>
        <v>421</v>
      </c>
      <c r="M276" s="250">
        <v>0</v>
      </c>
      <c r="N276" s="116">
        <v>0</v>
      </c>
      <c r="O276" s="116">
        <v>414</v>
      </c>
      <c r="P276" s="116">
        <v>0</v>
      </c>
      <c r="Q276" s="116">
        <v>7</v>
      </c>
      <c r="R276" s="116">
        <v>0</v>
      </c>
      <c r="S27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421</v>
      </c>
      <c r="T276" s="132">
        <f>EDUVIAL_2023[[#This Row],[TOTAL SEXO]]</f>
        <v>421</v>
      </c>
      <c r="U276" s="116" t="s">
        <v>132</v>
      </c>
      <c r="V276" s="116" t="s">
        <v>163</v>
      </c>
      <c r="W276" s="221" t="s">
        <v>480</v>
      </c>
      <c r="X276" s="117" t="b">
        <f>EXACT(EDUVIAL_2023[[#This Row],[TOTAL SEXO]],EDUVIAL_2023[[#This Row],[TOTAL RANGOS]])</f>
        <v>1</v>
      </c>
      <c r="Y276" s="116"/>
    </row>
    <row r="277" spans="1:25" ht="28.9">
      <c r="A277" s="150">
        <v>45944</v>
      </c>
      <c r="B277" s="115" t="s">
        <v>576</v>
      </c>
      <c r="C277" s="129" t="s">
        <v>67</v>
      </c>
      <c r="D277" s="129" t="s">
        <v>86</v>
      </c>
      <c r="E277" s="130" t="s">
        <v>51</v>
      </c>
      <c r="F277" s="129" t="s">
        <v>43</v>
      </c>
      <c r="G277" s="121" t="s">
        <v>475</v>
      </c>
      <c r="H277" s="130" t="s">
        <v>354</v>
      </c>
      <c r="I277" s="129" t="s">
        <v>614</v>
      </c>
      <c r="J277" s="166">
        <v>32</v>
      </c>
      <c r="K277" s="166">
        <v>64</v>
      </c>
      <c r="L277" s="131">
        <f>EDUVIAL_2023[[#This Row],[HOMBRE]]+EDUVIAL_2023[[#This Row],[MUJER]]</f>
        <v>96</v>
      </c>
      <c r="M277" s="250">
        <v>0</v>
      </c>
      <c r="N277" s="116">
        <v>0</v>
      </c>
      <c r="O277" s="116">
        <v>0</v>
      </c>
      <c r="P277" s="116">
        <v>25</v>
      </c>
      <c r="Q277" s="116">
        <v>71</v>
      </c>
      <c r="R277" s="116">
        <v>0</v>
      </c>
      <c r="S27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96</v>
      </c>
      <c r="T277" s="132">
        <f>EDUVIAL_2023[[#This Row],[TOTAL SEXO]]</f>
        <v>96</v>
      </c>
      <c r="U277" s="116" t="s">
        <v>615</v>
      </c>
      <c r="V277" s="116" t="s">
        <v>616</v>
      </c>
      <c r="W277" s="127" t="s">
        <v>617</v>
      </c>
      <c r="X277" s="117" t="b">
        <f>EXACT(EDUVIAL_2023[[#This Row],[TOTAL SEXO]],EDUVIAL_2023[[#This Row],[TOTAL RANGOS]])</f>
        <v>1</v>
      </c>
      <c r="Y277" s="116"/>
    </row>
    <row r="278" spans="1:25" ht="28.9">
      <c r="A278" s="150">
        <v>45944</v>
      </c>
      <c r="B278" s="115" t="s">
        <v>576</v>
      </c>
      <c r="C278" s="129" t="s">
        <v>176</v>
      </c>
      <c r="D278" s="129" t="s">
        <v>137</v>
      </c>
      <c r="E278" s="130" t="s">
        <v>69</v>
      </c>
      <c r="F278" s="129" t="s">
        <v>43</v>
      </c>
      <c r="G278" s="121" t="s">
        <v>577</v>
      </c>
      <c r="H278" s="130" t="s">
        <v>340</v>
      </c>
      <c r="I278" s="129" t="s">
        <v>618</v>
      </c>
      <c r="J278" s="166">
        <v>0</v>
      </c>
      <c r="K278" s="166">
        <v>1</v>
      </c>
      <c r="L278" s="131">
        <f>EDUVIAL_2023[[#This Row],[HOMBRE]]+EDUVIAL_2023[[#This Row],[MUJER]]</f>
        <v>1</v>
      </c>
      <c r="M278" s="250">
        <v>0</v>
      </c>
      <c r="N278" s="116">
        <v>0</v>
      </c>
      <c r="O278" s="116">
        <v>0</v>
      </c>
      <c r="P278" s="116">
        <v>0</v>
      </c>
      <c r="Q278" s="116">
        <v>1</v>
      </c>
      <c r="R278" s="116">
        <v>0</v>
      </c>
      <c r="S278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278" s="132">
        <f>EDUVIAL_2023[[#This Row],[TOTAL SEXO]]</f>
        <v>1</v>
      </c>
      <c r="U278" s="116" t="str">
        <f>VLOOKUP(EDUVIAL_2023[[#This Row],[INSTITUCIÓN O EMPRESA]],LISTAS!$J$1:$M$85,3,0)</f>
        <v>Zona 9</v>
      </c>
      <c r="V278" s="116" t="str">
        <f>VLOOKUP(EDUVIAL_2023[[#This Row],[INSTITUCIÓN O EMPRESA]],LISTAS!$J$1:$M$85,4,0)</f>
        <v>Centro</v>
      </c>
      <c r="W278" s="166" t="str">
        <f>VLOOKUP(EDUVIAL_2023[[#This Row],[INSTITUCIÓN O EMPRESA]],LISTAS!$J$1:$M$85,2,0)</f>
        <v>6.168450558868997, -75.5896412723252</v>
      </c>
      <c r="X278" s="117" t="b">
        <f>EXACT(EDUVIAL_2023[[#This Row],[TOTAL SEXO]],EDUVIAL_2023[[#This Row],[TOTAL RANGOS]])</f>
        <v>1</v>
      </c>
      <c r="Y278" s="116"/>
    </row>
    <row r="279" spans="1:25">
      <c r="A279" s="150">
        <v>45945</v>
      </c>
      <c r="B279" s="115" t="s">
        <v>576</v>
      </c>
      <c r="C279" s="129" t="s">
        <v>176</v>
      </c>
      <c r="D279" s="129" t="s">
        <v>619</v>
      </c>
      <c r="E279" s="130" t="s">
        <v>128</v>
      </c>
      <c r="F279" s="129" t="s">
        <v>79</v>
      </c>
      <c r="G279" s="130" t="s">
        <v>620</v>
      </c>
      <c r="H279" s="130" t="s">
        <v>340</v>
      </c>
      <c r="I279" s="129" t="s">
        <v>621</v>
      </c>
      <c r="J279" s="166">
        <v>1</v>
      </c>
      <c r="K279" s="166">
        <v>0</v>
      </c>
      <c r="L279" s="131">
        <f>EDUVIAL_2023[[#This Row],[HOMBRE]]+EDUVIAL_2023[[#This Row],[MUJER]]</f>
        <v>1</v>
      </c>
      <c r="M279" s="250">
        <v>0</v>
      </c>
      <c r="N279" s="116">
        <v>0</v>
      </c>
      <c r="O279" s="116">
        <v>0</v>
      </c>
      <c r="P279" s="116">
        <v>0</v>
      </c>
      <c r="Q279" s="116">
        <v>1</v>
      </c>
      <c r="R279" s="116">
        <v>0</v>
      </c>
      <c r="S279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279" s="132">
        <f>EDUVIAL_2023[[#This Row],[TOTAL SEXO]]</f>
        <v>1</v>
      </c>
      <c r="U279" s="116" t="str">
        <f>VLOOKUP(EDUVIAL_2023[[#This Row],[INSTITUCIÓN O EMPRESA]],LISTAS!$J$1:$M$85,3,0)</f>
        <v>Zona 9</v>
      </c>
      <c r="V279" s="116" t="str">
        <f>VLOOKUP(EDUVIAL_2023[[#This Row],[INSTITUCIÓN O EMPRESA]],LISTAS!$J$1:$M$85,4,0)</f>
        <v>Centro</v>
      </c>
      <c r="W279" s="166" t="str">
        <f>VLOOKUP(EDUVIAL_2023[[#This Row],[INSTITUCIÓN O EMPRESA]],LISTAS!$J$1:$M$85,2,0)</f>
        <v>6.168450558868997, -75.5896412723252</v>
      </c>
      <c r="X279" s="117" t="b">
        <f>EXACT(EDUVIAL_2023[[#This Row],[TOTAL SEXO]],EDUVIAL_2023[[#This Row],[TOTAL RANGOS]])</f>
        <v>1</v>
      </c>
      <c r="Y279" s="116"/>
    </row>
    <row r="280" spans="1:25" ht="28.9">
      <c r="A280" s="150">
        <v>45945</v>
      </c>
      <c r="B280" s="115" t="s">
        <v>576</v>
      </c>
      <c r="C280" s="129" t="s">
        <v>67</v>
      </c>
      <c r="D280" s="129" t="s">
        <v>137</v>
      </c>
      <c r="E280" s="130" t="s">
        <v>69</v>
      </c>
      <c r="F280" s="129" t="s">
        <v>43</v>
      </c>
      <c r="G280" s="121" t="s">
        <v>622</v>
      </c>
      <c r="H280" s="130" t="s">
        <v>623</v>
      </c>
      <c r="I280" s="129" t="s">
        <v>624</v>
      </c>
      <c r="J280" s="166">
        <v>0</v>
      </c>
      <c r="K280" s="166">
        <v>1</v>
      </c>
      <c r="L280" s="131">
        <f>EDUVIAL_2023[[#This Row],[HOMBRE]]+EDUVIAL_2023[[#This Row],[MUJER]]</f>
        <v>1</v>
      </c>
      <c r="M280" s="250">
        <v>0</v>
      </c>
      <c r="N280" s="116">
        <v>0</v>
      </c>
      <c r="O280" s="116">
        <v>0</v>
      </c>
      <c r="P280" s="116">
        <v>0</v>
      </c>
      <c r="Q280" s="116">
        <v>1</v>
      </c>
      <c r="R280" s="116">
        <v>0</v>
      </c>
      <c r="S280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280" s="132">
        <f>EDUVIAL_2023[[#This Row],[TOTAL SEXO]]</f>
        <v>1</v>
      </c>
      <c r="U280" s="106" t="s">
        <v>55</v>
      </c>
      <c r="V280" s="116" t="s">
        <v>625</v>
      </c>
      <c r="W280" s="127" t="s">
        <v>626</v>
      </c>
      <c r="X280" s="117" t="b">
        <f>EXACT(EDUVIAL_2023[[#This Row],[TOTAL SEXO]],EDUVIAL_2023[[#This Row],[TOTAL RANGOS]])</f>
        <v>1</v>
      </c>
      <c r="Y280" s="116"/>
    </row>
    <row r="281" spans="1:25" ht="28.9">
      <c r="A281" s="150">
        <v>45946</v>
      </c>
      <c r="B281" s="115" t="s">
        <v>576</v>
      </c>
      <c r="C281" s="129" t="s">
        <v>49</v>
      </c>
      <c r="D281" s="129" t="s">
        <v>89</v>
      </c>
      <c r="E281" s="130" t="s">
        <v>51</v>
      </c>
      <c r="F281" s="129" t="s">
        <v>79</v>
      </c>
      <c r="G281" s="121" t="s">
        <v>51</v>
      </c>
      <c r="H281" s="121" t="s">
        <v>627</v>
      </c>
      <c r="I281" s="129" t="s">
        <v>606</v>
      </c>
      <c r="J281" s="166">
        <v>12</v>
      </c>
      <c r="K281" s="166">
        <v>22</v>
      </c>
      <c r="L281" s="131">
        <f>EDUVIAL_2023[[#This Row],[HOMBRE]]+EDUVIAL_2023[[#This Row],[MUJER]]</f>
        <v>34</v>
      </c>
      <c r="M281" s="250">
        <v>0</v>
      </c>
      <c r="N281" s="116">
        <v>0</v>
      </c>
      <c r="O281" s="116">
        <v>0</v>
      </c>
      <c r="P281" s="116">
        <v>16</v>
      </c>
      <c r="Q281" s="116">
        <v>18</v>
      </c>
      <c r="R281" s="116">
        <v>0</v>
      </c>
      <c r="S281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34</v>
      </c>
      <c r="T281" s="132">
        <f>EDUVIAL_2023[[#This Row],[TOTAL SEXO]]</f>
        <v>34</v>
      </c>
      <c r="U281" s="106" t="s">
        <v>64</v>
      </c>
      <c r="V281" s="116" t="s">
        <v>65</v>
      </c>
      <c r="W281" s="166" t="s">
        <v>607</v>
      </c>
      <c r="X281" s="117" t="b">
        <f>EXACT(EDUVIAL_2023[[#This Row],[TOTAL SEXO]],EDUVIAL_2023[[#This Row],[TOTAL RANGOS]])</f>
        <v>1</v>
      </c>
      <c r="Y281" s="116"/>
    </row>
    <row r="282" spans="1:25" ht="43.15">
      <c r="A282" s="150">
        <v>45947</v>
      </c>
      <c r="B282" s="115" t="s">
        <v>576</v>
      </c>
      <c r="C282" s="129" t="s">
        <v>67</v>
      </c>
      <c r="D282" s="129" t="s">
        <v>254</v>
      </c>
      <c r="E282" s="130" t="s">
        <v>51</v>
      </c>
      <c r="F282" s="129" t="s">
        <v>346</v>
      </c>
      <c r="G282" s="121" t="s">
        <v>628</v>
      </c>
      <c r="H282" s="130" t="s">
        <v>75</v>
      </c>
      <c r="I282" s="129" t="s">
        <v>469</v>
      </c>
      <c r="J282" s="166">
        <v>212</v>
      </c>
      <c r="K282" s="166">
        <v>302</v>
      </c>
      <c r="L282" s="131">
        <f>EDUVIAL_2023[[#This Row],[HOMBRE]]+EDUVIAL_2023[[#This Row],[MUJER]]</f>
        <v>514</v>
      </c>
      <c r="M282" s="250">
        <v>0</v>
      </c>
      <c r="N282" s="116">
        <v>0</v>
      </c>
      <c r="O282" s="116">
        <v>500</v>
      </c>
      <c r="P282" s="116">
        <v>0</v>
      </c>
      <c r="Q282" s="116">
        <v>14</v>
      </c>
      <c r="R282" s="116">
        <v>0</v>
      </c>
      <c r="S282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514</v>
      </c>
      <c r="T282" s="132">
        <f>EDUVIAL_2023[[#This Row],[TOTAL SEXO]]</f>
        <v>514</v>
      </c>
      <c r="U282" s="116" t="s">
        <v>132</v>
      </c>
      <c r="V282" s="116" t="s">
        <v>163</v>
      </c>
      <c r="W282" s="221" t="s">
        <v>480</v>
      </c>
      <c r="X282" s="117" t="b">
        <f>EXACT(EDUVIAL_2023[[#This Row],[TOTAL SEXO]],EDUVIAL_2023[[#This Row],[TOTAL RANGOS]])</f>
        <v>1</v>
      </c>
      <c r="Y282" s="116"/>
    </row>
    <row r="283" spans="1:25" ht="43.15">
      <c r="A283" s="150">
        <v>45947</v>
      </c>
      <c r="B283" s="115" t="s">
        <v>576</v>
      </c>
      <c r="C283" s="129" t="s">
        <v>176</v>
      </c>
      <c r="D283" s="129" t="s">
        <v>239</v>
      </c>
      <c r="E283" s="130" t="s">
        <v>51</v>
      </c>
      <c r="F283" s="129" t="s">
        <v>43</v>
      </c>
      <c r="G283" s="121" t="s">
        <v>629</v>
      </c>
      <c r="H283" s="130" t="s">
        <v>340</v>
      </c>
      <c r="I283" s="129" t="s">
        <v>630</v>
      </c>
      <c r="J283" s="166">
        <v>8</v>
      </c>
      <c r="K283" s="166">
        <v>20</v>
      </c>
      <c r="L283" s="131">
        <f>EDUVIAL_2023[[#This Row],[HOMBRE]]+EDUVIAL_2023[[#This Row],[MUJER]]</f>
        <v>28</v>
      </c>
      <c r="M283" s="250">
        <v>24</v>
      </c>
      <c r="N283" s="116">
        <v>0</v>
      </c>
      <c r="O283" s="116">
        <v>0</v>
      </c>
      <c r="P283" s="116">
        <v>0</v>
      </c>
      <c r="Q283" s="116">
        <v>4</v>
      </c>
      <c r="R283" s="116">
        <v>0</v>
      </c>
      <c r="S283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28</v>
      </c>
      <c r="T283" s="132">
        <f>EDUVIAL_2023[[#This Row],[TOTAL SEXO]]</f>
        <v>28</v>
      </c>
      <c r="U283" s="116" t="str">
        <f>VLOOKUP(EDUVIAL_2023[[#This Row],[INSTITUCIÓN O EMPRESA]],LISTAS!$J$1:$M$85,3,0)</f>
        <v>Zona 9</v>
      </c>
      <c r="V283" s="116" t="str">
        <f>VLOOKUP(EDUVIAL_2023[[#This Row],[INSTITUCIÓN O EMPRESA]],LISTAS!$J$1:$M$85,4,0)</f>
        <v>Centro</v>
      </c>
      <c r="W283" s="166" t="str">
        <f>VLOOKUP(EDUVIAL_2023[[#This Row],[INSTITUCIÓN O EMPRESA]],LISTAS!$J$1:$M$85,2,0)</f>
        <v>6.168450558868997, -75.5896412723252</v>
      </c>
      <c r="X283" s="117" t="b">
        <f>EXACT(EDUVIAL_2023[[#This Row],[TOTAL SEXO]],EDUVIAL_2023[[#This Row],[TOTAL RANGOS]])</f>
        <v>1</v>
      </c>
      <c r="Y283" s="116"/>
    </row>
    <row r="284" spans="1:25" ht="43.15">
      <c r="A284" s="150">
        <v>45951</v>
      </c>
      <c r="B284" s="115" t="s">
        <v>576</v>
      </c>
      <c r="C284" s="129" t="s">
        <v>176</v>
      </c>
      <c r="D284" s="129" t="s">
        <v>226</v>
      </c>
      <c r="E284" s="130" t="s">
        <v>51</v>
      </c>
      <c r="F284" s="129" t="s">
        <v>240</v>
      </c>
      <c r="G284" s="121" t="s">
        <v>631</v>
      </c>
      <c r="H284" s="130" t="s">
        <v>340</v>
      </c>
      <c r="I284" s="129" t="s">
        <v>630</v>
      </c>
      <c r="J284" s="166">
        <v>20</v>
      </c>
      <c r="K284" s="166">
        <v>35</v>
      </c>
      <c r="L284" s="131">
        <f>EDUVIAL_2023[[#This Row],[HOMBRE]]+EDUVIAL_2023[[#This Row],[MUJER]]</f>
        <v>55</v>
      </c>
      <c r="M284" s="250">
        <v>0</v>
      </c>
      <c r="N284" s="116">
        <v>50</v>
      </c>
      <c r="O284" s="116">
        <v>0</v>
      </c>
      <c r="P284" s="116">
        <v>0</v>
      </c>
      <c r="Q284" s="116">
        <v>5</v>
      </c>
      <c r="R284" s="116">
        <v>0</v>
      </c>
      <c r="S28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55</v>
      </c>
      <c r="T284" s="132">
        <f>EDUVIAL_2023[[#This Row],[TOTAL SEXO]]</f>
        <v>55</v>
      </c>
      <c r="U284" s="116" t="str">
        <f>VLOOKUP(EDUVIAL_2023[[#This Row],[INSTITUCIÓN O EMPRESA]],LISTAS!$J$1:$M$85,3,0)</f>
        <v>Zona 9</v>
      </c>
      <c r="V284" s="116" t="str">
        <f>VLOOKUP(EDUVIAL_2023[[#This Row],[INSTITUCIÓN O EMPRESA]],LISTAS!$J$1:$M$85,4,0)</f>
        <v>Centro</v>
      </c>
      <c r="W284" s="166" t="str">
        <f>VLOOKUP(EDUVIAL_2023[[#This Row],[INSTITUCIÓN O EMPRESA]],LISTAS!$J$1:$M$85,2,0)</f>
        <v>6.168450558868997, -75.5896412723252</v>
      </c>
      <c r="X284" s="117" t="b">
        <f>EXACT(EDUVIAL_2023[[#This Row],[TOTAL SEXO]],EDUVIAL_2023[[#This Row],[TOTAL RANGOS]])</f>
        <v>1</v>
      </c>
      <c r="Y284" s="116"/>
    </row>
    <row r="285" spans="1:25" ht="28.9">
      <c r="A285" s="150">
        <v>45952</v>
      </c>
      <c r="B285" s="115" t="s">
        <v>576</v>
      </c>
      <c r="C285" s="129" t="s">
        <v>67</v>
      </c>
      <c r="D285" s="129" t="s">
        <v>101</v>
      </c>
      <c r="E285" s="130" t="s">
        <v>51</v>
      </c>
      <c r="F285" s="129" t="s">
        <v>43</v>
      </c>
      <c r="G285" s="121" t="s">
        <v>51</v>
      </c>
      <c r="H285" s="130" t="s">
        <v>632</v>
      </c>
      <c r="I285" s="129" t="s">
        <v>633</v>
      </c>
      <c r="J285" s="166">
        <v>5</v>
      </c>
      <c r="K285" s="166">
        <v>5</v>
      </c>
      <c r="L285" s="131">
        <f>EDUVIAL_2023[[#This Row],[HOMBRE]]+EDUVIAL_2023[[#This Row],[MUJER]]</f>
        <v>10</v>
      </c>
      <c r="M285" s="250">
        <v>0</v>
      </c>
      <c r="N285" s="116">
        <v>0</v>
      </c>
      <c r="O285" s="116">
        <v>7</v>
      </c>
      <c r="P285" s="116">
        <v>2</v>
      </c>
      <c r="Q285" s="116">
        <v>1</v>
      </c>
      <c r="R285" s="116">
        <v>0</v>
      </c>
      <c r="S28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10</v>
      </c>
      <c r="T285" s="132">
        <f>EDUVIAL_2023[[#This Row],[TOTAL SEXO]]</f>
        <v>10</v>
      </c>
      <c r="U285" s="116" t="s">
        <v>132</v>
      </c>
      <c r="V285" s="79" t="s">
        <v>534</v>
      </c>
      <c r="W285" s="221" t="s">
        <v>167</v>
      </c>
      <c r="X285" s="117" t="b">
        <f>EXACT(EDUVIAL_2023[[#This Row],[TOTAL SEXO]],EDUVIAL_2023[[#This Row],[TOTAL RANGOS]])</f>
        <v>1</v>
      </c>
      <c r="Y285" s="116"/>
    </row>
    <row r="286" spans="1:25" ht="43.15">
      <c r="A286" s="150">
        <v>45952</v>
      </c>
      <c r="B286" s="115" t="s">
        <v>576</v>
      </c>
      <c r="C286" s="129" t="s">
        <v>176</v>
      </c>
      <c r="D286" s="129" t="s">
        <v>226</v>
      </c>
      <c r="E286" s="130" t="s">
        <v>51</v>
      </c>
      <c r="F286" s="129" t="s">
        <v>240</v>
      </c>
      <c r="G286" s="121" t="s">
        <v>634</v>
      </c>
      <c r="H286" s="130" t="s">
        <v>340</v>
      </c>
      <c r="I286" s="129" t="s">
        <v>635</v>
      </c>
      <c r="J286" s="166">
        <v>17</v>
      </c>
      <c r="K286" s="166">
        <v>18</v>
      </c>
      <c r="L286" s="131">
        <f>EDUVIAL_2023[[#This Row],[HOMBRE]]+EDUVIAL_2023[[#This Row],[MUJER]]</f>
        <v>35</v>
      </c>
      <c r="M286" s="250">
        <v>0</v>
      </c>
      <c r="N286" s="116">
        <v>0</v>
      </c>
      <c r="O286" s="116">
        <v>33</v>
      </c>
      <c r="P286" s="116">
        <v>0</v>
      </c>
      <c r="Q286" s="116">
        <v>2</v>
      </c>
      <c r="R286" s="116">
        <v>0</v>
      </c>
      <c r="S28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35</v>
      </c>
      <c r="T286" s="132">
        <f>EDUVIAL_2023[[#This Row],[TOTAL SEXO]]</f>
        <v>35</v>
      </c>
      <c r="U286" s="116" t="str">
        <f>VLOOKUP(EDUVIAL_2023[[#This Row],[INSTITUCIÓN O EMPRESA]],LISTAS!$J$1:$M$85,3,0)</f>
        <v>Zona 9</v>
      </c>
      <c r="V286" s="116" t="str">
        <f>VLOOKUP(EDUVIAL_2023[[#This Row],[INSTITUCIÓN O EMPRESA]],LISTAS!$J$1:$M$85,4,0)</f>
        <v>Centro</v>
      </c>
      <c r="W286" s="166" t="str">
        <f>VLOOKUP(EDUVIAL_2023[[#This Row],[INSTITUCIÓN O EMPRESA]],LISTAS!$J$1:$M$85,2,0)</f>
        <v>6.168450558868997, -75.5896412723252</v>
      </c>
      <c r="X286" s="117" t="b">
        <f>EXACT(EDUVIAL_2023[[#This Row],[TOTAL SEXO]],EDUVIAL_2023[[#This Row],[TOTAL RANGOS]])</f>
        <v>1</v>
      </c>
      <c r="Y286" s="116"/>
    </row>
    <row r="287" spans="1:25" ht="28.9">
      <c r="A287" s="150">
        <v>45952</v>
      </c>
      <c r="B287" s="115" t="s">
        <v>576</v>
      </c>
      <c r="C287" s="129" t="s">
        <v>67</v>
      </c>
      <c r="D287" s="129" t="s">
        <v>588</v>
      </c>
      <c r="E287" s="130" t="s">
        <v>51</v>
      </c>
      <c r="F287" s="129" t="s">
        <v>346</v>
      </c>
      <c r="G287" s="121" t="s">
        <v>51</v>
      </c>
      <c r="H287" s="121" t="s">
        <v>595</v>
      </c>
      <c r="I287" s="129" t="s">
        <v>360</v>
      </c>
      <c r="J287" s="166">
        <v>18</v>
      </c>
      <c r="K287" s="166">
        <v>15</v>
      </c>
      <c r="L287" s="131">
        <f>EDUVIAL_2023[[#This Row],[HOMBRE]]+EDUVIAL_2023[[#This Row],[MUJER]]</f>
        <v>33</v>
      </c>
      <c r="M287" s="250">
        <v>0</v>
      </c>
      <c r="N287" s="116">
        <v>0</v>
      </c>
      <c r="O287" s="116">
        <v>0</v>
      </c>
      <c r="P287" s="116">
        <v>11</v>
      </c>
      <c r="Q287" s="116">
        <v>19</v>
      </c>
      <c r="R287" s="116">
        <v>3</v>
      </c>
      <c r="S28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33</v>
      </c>
      <c r="T287" s="132">
        <f>EDUVIAL_2023[[#This Row],[TOTAL SEXO]]</f>
        <v>33</v>
      </c>
      <c r="U287" s="116" t="s">
        <v>55</v>
      </c>
      <c r="V287" s="116" t="s">
        <v>597</v>
      </c>
      <c r="W287" s="166" t="s">
        <v>636</v>
      </c>
      <c r="X287" s="117" t="b">
        <f>EXACT(EDUVIAL_2023[[#This Row],[TOTAL SEXO]],EDUVIAL_2023[[#This Row],[TOTAL RANGOS]])</f>
        <v>1</v>
      </c>
      <c r="Y287" s="116"/>
    </row>
    <row r="288" spans="1:25" ht="43.15">
      <c r="A288" s="150">
        <v>45953</v>
      </c>
      <c r="B288" s="115" t="s">
        <v>576</v>
      </c>
      <c r="C288" s="129" t="s">
        <v>176</v>
      </c>
      <c r="D288" s="129" t="s">
        <v>226</v>
      </c>
      <c r="E288" s="130" t="s">
        <v>51</v>
      </c>
      <c r="F288" s="129" t="s">
        <v>43</v>
      </c>
      <c r="G288" s="121" t="s">
        <v>637</v>
      </c>
      <c r="H288" s="130" t="s">
        <v>340</v>
      </c>
      <c r="I288" s="129" t="s">
        <v>638</v>
      </c>
      <c r="J288" s="166">
        <v>10</v>
      </c>
      <c r="K288" s="166">
        <v>11</v>
      </c>
      <c r="L288" s="131">
        <f>EDUVIAL_2023[[#This Row],[HOMBRE]]+EDUVIAL_2023[[#This Row],[MUJER]]</f>
        <v>21</v>
      </c>
      <c r="M288" s="250">
        <v>0</v>
      </c>
      <c r="N288" s="116">
        <v>20</v>
      </c>
      <c r="O288" s="116">
        <v>0</v>
      </c>
      <c r="P288" s="116">
        <v>0</v>
      </c>
      <c r="Q288" s="116">
        <v>1</v>
      </c>
      <c r="R288" s="116">
        <v>0</v>
      </c>
      <c r="S288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21</v>
      </c>
      <c r="T288" s="132">
        <f>EDUVIAL_2023[[#This Row],[TOTAL SEXO]]</f>
        <v>21</v>
      </c>
      <c r="U288" s="116" t="str">
        <f>VLOOKUP(EDUVIAL_2023[[#This Row],[INSTITUCIÓN O EMPRESA]],LISTAS!$J$1:$M$85,3,0)</f>
        <v>Zona 9</v>
      </c>
      <c r="V288" s="116" t="str">
        <f>VLOOKUP(EDUVIAL_2023[[#This Row],[INSTITUCIÓN O EMPRESA]],LISTAS!$J$1:$M$85,4,0)</f>
        <v>Centro</v>
      </c>
      <c r="W288" s="166" t="str">
        <f>VLOOKUP(EDUVIAL_2023[[#This Row],[INSTITUCIÓN O EMPRESA]],LISTAS!$J$1:$M$85,2,0)</f>
        <v>6.168450558868997, -75.5896412723252</v>
      </c>
      <c r="X288" s="117" t="b">
        <f>EXACT(EDUVIAL_2023[[#This Row],[TOTAL SEXO]],EDUVIAL_2023[[#This Row],[TOTAL RANGOS]])</f>
        <v>1</v>
      </c>
      <c r="Y288" s="116"/>
    </row>
    <row r="289" spans="1:25" ht="43.15">
      <c r="A289" s="150">
        <v>45953</v>
      </c>
      <c r="B289" s="115" t="s">
        <v>576</v>
      </c>
      <c r="C289" s="129" t="s">
        <v>176</v>
      </c>
      <c r="D289" s="129" t="s">
        <v>239</v>
      </c>
      <c r="E289" s="130" t="s">
        <v>51</v>
      </c>
      <c r="F289" s="129" t="s">
        <v>346</v>
      </c>
      <c r="G289" s="121" t="s">
        <v>639</v>
      </c>
      <c r="H289" s="130" t="s">
        <v>340</v>
      </c>
      <c r="I289" s="129" t="s">
        <v>640</v>
      </c>
      <c r="J289" s="166">
        <v>7</v>
      </c>
      <c r="K289" s="166">
        <v>20</v>
      </c>
      <c r="L289" s="131">
        <f>EDUVIAL_2023[[#This Row],[HOMBRE]]+EDUVIAL_2023[[#This Row],[MUJER]]</f>
        <v>27</v>
      </c>
      <c r="M289" s="250">
        <v>22</v>
      </c>
      <c r="N289" s="116">
        <v>0</v>
      </c>
      <c r="O289" s="116">
        <v>0</v>
      </c>
      <c r="P289" s="116">
        <v>2</v>
      </c>
      <c r="Q289" s="116">
        <v>3</v>
      </c>
      <c r="R289" s="116">
        <v>0</v>
      </c>
      <c r="S289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27</v>
      </c>
      <c r="T289" s="132">
        <f>EDUVIAL_2023[[#This Row],[TOTAL SEXO]]</f>
        <v>27</v>
      </c>
      <c r="U289" s="116" t="str">
        <f>VLOOKUP(EDUVIAL_2023[[#This Row],[INSTITUCIÓN O EMPRESA]],LISTAS!$J$1:$M$85,3,0)</f>
        <v>Zona 9</v>
      </c>
      <c r="V289" s="116" t="str">
        <f>VLOOKUP(EDUVIAL_2023[[#This Row],[INSTITUCIÓN O EMPRESA]],LISTAS!$J$1:$M$85,4,0)</f>
        <v>Centro</v>
      </c>
      <c r="W289" s="166" t="str">
        <f>VLOOKUP(EDUVIAL_2023[[#This Row],[INSTITUCIÓN O EMPRESA]],LISTAS!$J$1:$M$85,2,0)</f>
        <v>6.168450558868997, -75.5896412723252</v>
      </c>
      <c r="X289" s="117" t="b">
        <f>EXACT(EDUVIAL_2023[[#This Row],[TOTAL SEXO]],EDUVIAL_2023[[#This Row],[TOTAL RANGOS]])</f>
        <v>1</v>
      </c>
      <c r="Y289" s="116"/>
    </row>
    <row r="290" spans="1:25" ht="43.15">
      <c r="A290" s="150">
        <v>45954</v>
      </c>
      <c r="B290" s="115" t="s">
        <v>576</v>
      </c>
      <c r="C290" s="129" t="s">
        <v>176</v>
      </c>
      <c r="D290" s="129" t="s">
        <v>226</v>
      </c>
      <c r="E290" s="130" t="s">
        <v>51</v>
      </c>
      <c r="F290" s="129" t="s">
        <v>240</v>
      </c>
      <c r="G290" s="121" t="s">
        <v>641</v>
      </c>
      <c r="H290" s="130" t="s">
        <v>340</v>
      </c>
      <c r="I290" s="129" t="s">
        <v>635</v>
      </c>
      <c r="J290" s="166">
        <v>15</v>
      </c>
      <c r="K290" s="166">
        <v>21</v>
      </c>
      <c r="L290" s="131">
        <f>EDUVIAL_2023[[#This Row],[HOMBRE]]+EDUVIAL_2023[[#This Row],[MUJER]]</f>
        <v>36</v>
      </c>
      <c r="M290" s="250">
        <v>0</v>
      </c>
      <c r="N290" s="116">
        <v>35</v>
      </c>
      <c r="O290" s="116">
        <v>0</v>
      </c>
      <c r="P290" s="116">
        <v>0</v>
      </c>
      <c r="Q290" s="116">
        <v>1</v>
      </c>
      <c r="R290" s="116">
        <v>0</v>
      </c>
      <c r="S290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36</v>
      </c>
      <c r="T290" s="132">
        <f>EDUVIAL_2023[[#This Row],[TOTAL SEXO]]</f>
        <v>36</v>
      </c>
      <c r="U290" s="116" t="str">
        <f>VLOOKUP(EDUVIAL_2023[[#This Row],[INSTITUCIÓN O EMPRESA]],LISTAS!$J$1:$M$85,3,0)</f>
        <v>Zona 9</v>
      </c>
      <c r="V290" s="116" t="str">
        <f>VLOOKUP(EDUVIAL_2023[[#This Row],[INSTITUCIÓN O EMPRESA]],LISTAS!$J$1:$M$85,4,0)</f>
        <v>Centro</v>
      </c>
      <c r="W290" s="166" t="str">
        <f>VLOOKUP(EDUVIAL_2023[[#This Row],[INSTITUCIÓN O EMPRESA]],LISTAS!$J$1:$M$85,2,0)</f>
        <v>6.168450558868997, -75.5896412723252</v>
      </c>
      <c r="X290" s="117" t="b">
        <f>EXACT(EDUVIAL_2023[[#This Row],[TOTAL SEXO]],EDUVIAL_2023[[#This Row],[TOTAL RANGOS]])</f>
        <v>1</v>
      </c>
      <c r="Y290" s="116"/>
    </row>
    <row r="291" spans="1:25" ht="28.9">
      <c r="A291" s="150">
        <v>45957</v>
      </c>
      <c r="B291" s="115" t="s">
        <v>576</v>
      </c>
      <c r="C291" s="129" t="s">
        <v>49</v>
      </c>
      <c r="D291" s="129" t="s">
        <v>89</v>
      </c>
      <c r="E291" s="130" t="s">
        <v>69</v>
      </c>
      <c r="F291" s="129" t="s">
        <v>79</v>
      </c>
      <c r="G291" s="121" t="s">
        <v>642</v>
      </c>
      <c r="H291" s="121" t="s">
        <v>643</v>
      </c>
      <c r="I291" s="129" t="s">
        <v>644</v>
      </c>
      <c r="J291" s="166">
        <v>1</v>
      </c>
      <c r="K291" s="166">
        <v>1</v>
      </c>
      <c r="L291" s="131">
        <f>EDUVIAL_2023[[#This Row],[HOMBRE]]+EDUVIAL_2023[[#This Row],[MUJER]]</f>
        <v>2</v>
      </c>
      <c r="M291" s="250">
        <v>0</v>
      </c>
      <c r="N291" s="116">
        <v>0</v>
      </c>
      <c r="O291" s="116">
        <v>0</v>
      </c>
      <c r="P291" s="116">
        <v>0</v>
      </c>
      <c r="Q291" s="116">
        <v>2</v>
      </c>
      <c r="R291" s="116">
        <v>0</v>
      </c>
      <c r="S291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</v>
      </c>
      <c r="T291" s="132">
        <f>EDUVIAL_2023[[#This Row],[TOTAL SEXO]]</f>
        <v>2</v>
      </c>
      <c r="U291" s="116" t="s">
        <v>64</v>
      </c>
      <c r="V291" s="116" t="s">
        <v>65</v>
      </c>
      <c r="W291" s="166" t="s">
        <v>645</v>
      </c>
      <c r="X291" s="117" t="b">
        <f>EXACT(EDUVIAL_2023[[#This Row],[TOTAL SEXO]],EDUVIAL_2023[[#This Row],[TOTAL RANGOS]])</f>
        <v>1</v>
      </c>
      <c r="Y291" s="116"/>
    </row>
    <row r="292" spans="1:25" ht="43.15">
      <c r="A292" s="150">
        <v>45958</v>
      </c>
      <c r="B292" s="115" t="s">
        <v>576</v>
      </c>
      <c r="C292" s="129" t="s">
        <v>176</v>
      </c>
      <c r="D292" s="129" t="s">
        <v>226</v>
      </c>
      <c r="E292" s="130" t="s">
        <v>51</v>
      </c>
      <c r="F292" s="129" t="s">
        <v>346</v>
      </c>
      <c r="G292" s="121" t="s">
        <v>646</v>
      </c>
      <c r="H292" s="130" t="s">
        <v>340</v>
      </c>
      <c r="I292" s="129" t="s">
        <v>630</v>
      </c>
      <c r="J292" s="166">
        <v>24</v>
      </c>
      <c r="K292" s="166">
        <v>32</v>
      </c>
      <c r="L292" s="131">
        <f>EDUVIAL_2023[[#This Row],[HOMBRE]]+EDUVIAL_2023[[#This Row],[MUJER]]</f>
        <v>56</v>
      </c>
      <c r="M292" s="250">
        <v>0</v>
      </c>
      <c r="N292" s="116">
        <v>52</v>
      </c>
      <c r="O292" s="116">
        <v>0</v>
      </c>
      <c r="P292" s="116">
        <v>0</v>
      </c>
      <c r="Q292" s="116">
        <v>4</v>
      </c>
      <c r="R292" s="116">
        <v>0</v>
      </c>
      <c r="S292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56</v>
      </c>
      <c r="T292" s="132">
        <f>EDUVIAL_2023[[#This Row],[TOTAL SEXO]]</f>
        <v>56</v>
      </c>
      <c r="U292" s="116" t="str">
        <f>VLOOKUP(EDUVIAL_2023[[#This Row],[INSTITUCIÓN O EMPRESA]],LISTAS!$J$1:$M$85,3,0)</f>
        <v>Zona 9</v>
      </c>
      <c r="V292" s="116" t="str">
        <f>VLOOKUP(EDUVIAL_2023[[#This Row],[INSTITUCIÓN O EMPRESA]],LISTAS!$J$1:$M$85,4,0)</f>
        <v>Centro</v>
      </c>
      <c r="W292" s="166" t="str">
        <f>VLOOKUP(EDUVIAL_2023[[#This Row],[INSTITUCIÓN O EMPRESA]],LISTAS!$J$1:$M$85,2,0)</f>
        <v>6.168450558868997, -75.5896412723252</v>
      </c>
      <c r="X292" s="117" t="b">
        <f>EXACT(EDUVIAL_2023[[#This Row],[TOTAL SEXO]],EDUVIAL_2023[[#This Row],[TOTAL RANGOS]])</f>
        <v>1</v>
      </c>
      <c r="Y292" s="116"/>
    </row>
    <row r="293" spans="1:25" ht="28.9">
      <c r="A293" s="150">
        <v>45958</v>
      </c>
      <c r="B293" s="115" t="s">
        <v>576</v>
      </c>
      <c r="C293" s="129" t="s">
        <v>582</v>
      </c>
      <c r="D293" s="129" t="s">
        <v>583</v>
      </c>
      <c r="E293" s="130" t="s">
        <v>51</v>
      </c>
      <c r="F293" s="129" t="s">
        <v>43</v>
      </c>
      <c r="G293" s="121" t="s">
        <v>51</v>
      </c>
      <c r="H293" s="121" t="s">
        <v>647</v>
      </c>
      <c r="I293" s="129" t="s">
        <v>648</v>
      </c>
      <c r="J293" s="166">
        <v>4</v>
      </c>
      <c r="K293" s="166">
        <v>33</v>
      </c>
      <c r="L293" s="131">
        <f>EDUVIAL_2023[[#This Row],[HOMBRE]]+EDUVIAL_2023[[#This Row],[MUJER]]</f>
        <v>37</v>
      </c>
      <c r="M293" s="250">
        <v>0</v>
      </c>
      <c r="N293" s="116">
        <v>0</v>
      </c>
      <c r="O293" s="116">
        <v>0</v>
      </c>
      <c r="P293" s="116">
        <v>0</v>
      </c>
      <c r="Q293" s="116">
        <v>0</v>
      </c>
      <c r="R293" s="116">
        <v>37</v>
      </c>
      <c r="S293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37</v>
      </c>
      <c r="T293" s="132">
        <f>EDUVIAL_2023[[#This Row],[TOTAL SEXO]]</f>
        <v>37</v>
      </c>
      <c r="U293" s="116" t="s">
        <v>610</v>
      </c>
      <c r="V293" s="116" t="s">
        <v>611</v>
      </c>
      <c r="W293" s="166" t="s">
        <v>649</v>
      </c>
      <c r="X293" s="117" t="b">
        <f>EXACT(EDUVIAL_2023[[#This Row],[TOTAL SEXO]],EDUVIAL_2023[[#This Row],[TOTAL RANGOS]])</f>
        <v>1</v>
      </c>
      <c r="Y293" s="116"/>
    </row>
    <row r="294" spans="1:25" ht="28.9">
      <c r="A294" s="150">
        <v>45959</v>
      </c>
      <c r="B294" s="115" t="s">
        <v>576</v>
      </c>
      <c r="C294" s="129" t="s">
        <v>582</v>
      </c>
      <c r="D294" s="129" t="s">
        <v>583</v>
      </c>
      <c r="E294" s="130" t="s">
        <v>51</v>
      </c>
      <c r="F294" s="129" t="s">
        <v>43</v>
      </c>
      <c r="G294" s="121" t="s">
        <v>51</v>
      </c>
      <c r="H294" s="121" t="s">
        <v>647</v>
      </c>
      <c r="I294" s="129" t="s">
        <v>648</v>
      </c>
      <c r="J294" s="166">
        <v>6</v>
      </c>
      <c r="K294" s="166">
        <v>19</v>
      </c>
      <c r="L294" s="131">
        <f>EDUVIAL_2023[[#This Row],[HOMBRE]]+EDUVIAL_2023[[#This Row],[MUJER]]</f>
        <v>25</v>
      </c>
      <c r="M294" s="250">
        <v>0</v>
      </c>
      <c r="N294" s="116">
        <v>0</v>
      </c>
      <c r="O294" s="116">
        <v>0</v>
      </c>
      <c r="P294" s="116">
        <v>0</v>
      </c>
      <c r="Q294" s="116">
        <v>0</v>
      </c>
      <c r="R294" s="116">
        <v>25</v>
      </c>
      <c r="S29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25</v>
      </c>
      <c r="T294" s="132">
        <f>EDUVIAL_2023[[#This Row],[TOTAL SEXO]]</f>
        <v>25</v>
      </c>
      <c r="U294" s="116" t="s">
        <v>610</v>
      </c>
      <c r="V294" s="116" t="s">
        <v>611</v>
      </c>
      <c r="W294" s="166" t="s">
        <v>649</v>
      </c>
      <c r="X294" s="117" t="b">
        <f>EXACT(EDUVIAL_2023[[#This Row],[TOTAL SEXO]],EDUVIAL_2023[[#This Row],[TOTAL RANGOS]])</f>
        <v>1</v>
      </c>
      <c r="Y294" s="116"/>
    </row>
    <row r="295" spans="1:25" ht="43.15">
      <c r="A295" s="150">
        <v>45959</v>
      </c>
      <c r="B295" s="115" t="s">
        <v>576</v>
      </c>
      <c r="C295" s="129" t="s">
        <v>176</v>
      </c>
      <c r="D295" s="129" t="s">
        <v>226</v>
      </c>
      <c r="E295" s="130" t="s">
        <v>51</v>
      </c>
      <c r="F295" s="129" t="s">
        <v>240</v>
      </c>
      <c r="G295" s="121" t="s">
        <v>650</v>
      </c>
      <c r="H295" s="130" t="s">
        <v>340</v>
      </c>
      <c r="I295" s="129" t="s">
        <v>630</v>
      </c>
      <c r="J295" s="166">
        <v>26</v>
      </c>
      <c r="K295" s="166">
        <v>35</v>
      </c>
      <c r="L295" s="131">
        <f>EDUVIAL_2023[[#This Row],[HOMBRE]]+EDUVIAL_2023[[#This Row],[MUJER]]</f>
        <v>61</v>
      </c>
      <c r="M295" s="250">
        <v>0</v>
      </c>
      <c r="N295" s="116">
        <v>58</v>
      </c>
      <c r="O295" s="116">
        <v>0</v>
      </c>
      <c r="P295" s="116">
        <v>0</v>
      </c>
      <c r="Q295" s="116">
        <v>3</v>
      </c>
      <c r="R295" s="116">
        <v>0</v>
      </c>
      <c r="S29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61</v>
      </c>
      <c r="T295" s="132">
        <f>EDUVIAL_2023[[#This Row],[TOTAL SEXO]]</f>
        <v>61</v>
      </c>
      <c r="U295" s="116" t="str">
        <f>VLOOKUP(EDUVIAL_2023[[#This Row],[INSTITUCIÓN O EMPRESA]],LISTAS!$J$1:$M$85,3,0)</f>
        <v>Zona 9</v>
      </c>
      <c r="V295" s="116" t="str">
        <f>VLOOKUP(EDUVIAL_2023[[#This Row],[INSTITUCIÓN O EMPRESA]],LISTAS!$J$1:$M$85,4,0)</f>
        <v>Centro</v>
      </c>
      <c r="W295" s="166" t="str">
        <f>VLOOKUP(EDUVIAL_2023[[#This Row],[INSTITUCIÓN O EMPRESA]],LISTAS!$J$1:$M$85,2,0)</f>
        <v>6.168450558868997, -75.5896412723252</v>
      </c>
      <c r="X295" s="117" t="b">
        <f>EXACT(EDUVIAL_2023[[#This Row],[TOTAL SEXO]],EDUVIAL_2023[[#This Row],[TOTAL RANGOS]])</f>
        <v>1</v>
      </c>
      <c r="Y295" s="116"/>
    </row>
    <row r="296" spans="1:25" ht="28.9">
      <c r="A296" s="150">
        <v>45960</v>
      </c>
      <c r="B296" s="115" t="s">
        <v>576</v>
      </c>
      <c r="C296" s="129" t="s">
        <v>582</v>
      </c>
      <c r="D296" s="129" t="s">
        <v>583</v>
      </c>
      <c r="E296" s="130" t="s">
        <v>51</v>
      </c>
      <c r="F296" s="129" t="s">
        <v>43</v>
      </c>
      <c r="G296" s="121" t="s">
        <v>51</v>
      </c>
      <c r="H296" s="121" t="s">
        <v>647</v>
      </c>
      <c r="I296" s="129" t="s">
        <v>648</v>
      </c>
      <c r="J296" s="166">
        <v>1</v>
      </c>
      <c r="K296" s="166">
        <v>13</v>
      </c>
      <c r="L296" s="131">
        <f>EDUVIAL_2023[[#This Row],[HOMBRE]]+EDUVIAL_2023[[#This Row],[MUJER]]</f>
        <v>14</v>
      </c>
      <c r="M296" s="250">
        <v>0</v>
      </c>
      <c r="N296" s="116">
        <v>0</v>
      </c>
      <c r="O296" s="116">
        <v>0</v>
      </c>
      <c r="P296" s="116">
        <v>0</v>
      </c>
      <c r="Q296" s="116">
        <v>0</v>
      </c>
      <c r="R296" s="116">
        <v>14</v>
      </c>
      <c r="S29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14</v>
      </c>
      <c r="T296" s="132">
        <f>EDUVIAL_2023[[#This Row],[TOTAL SEXO]]</f>
        <v>14</v>
      </c>
      <c r="U296" s="116" t="s">
        <v>610</v>
      </c>
      <c r="V296" s="116" t="s">
        <v>611</v>
      </c>
      <c r="W296" s="166" t="s">
        <v>649</v>
      </c>
      <c r="X296" s="117" t="b">
        <f>EXACT(EDUVIAL_2023[[#This Row],[TOTAL SEXO]],EDUVIAL_2023[[#This Row],[TOTAL RANGOS]])</f>
        <v>1</v>
      </c>
      <c r="Y296" s="116"/>
    </row>
    <row r="297" spans="1:25" ht="43.15">
      <c r="A297" s="150">
        <v>45961</v>
      </c>
      <c r="B297" s="115" t="s">
        <v>576</v>
      </c>
      <c r="C297" s="129" t="s">
        <v>176</v>
      </c>
      <c r="D297" s="129" t="s">
        <v>226</v>
      </c>
      <c r="E297" s="130" t="s">
        <v>51</v>
      </c>
      <c r="F297" s="129" t="s">
        <v>43</v>
      </c>
      <c r="G297" s="121" t="s">
        <v>651</v>
      </c>
      <c r="H297" s="130" t="s">
        <v>340</v>
      </c>
      <c r="I297" s="129" t="s">
        <v>652</v>
      </c>
      <c r="J297" s="166">
        <v>23</v>
      </c>
      <c r="K297" s="166">
        <v>22</v>
      </c>
      <c r="L297" s="131">
        <f>EDUVIAL_2023[[#This Row],[HOMBRE]]+EDUVIAL_2023[[#This Row],[MUJER]]</f>
        <v>45</v>
      </c>
      <c r="M297" s="250">
        <v>0</v>
      </c>
      <c r="N297" s="116">
        <v>43</v>
      </c>
      <c r="O297" s="116">
        <v>0</v>
      </c>
      <c r="P297" s="116">
        <v>0</v>
      </c>
      <c r="Q297" s="116">
        <v>2</v>
      </c>
      <c r="R297" s="116">
        <v>0</v>
      </c>
      <c r="S29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45</v>
      </c>
      <c r="T297" s="132">
        <f>EDUVIAL_2023[[#This Row],[TOTAL SEXO]]</f>
        <v>45</v>
      </c>
      <c r="U297" s="116" t="str">
        <f>VLOOKUP(EDUVIAL_2023[[#This Row],[INSTITUCIÓN O EMPRESA]],LISTAS!$J$1:$M$85,3,0)</f>
        <v>Zona 9</v>
      </c>
      <c r="V297" s="116" t="str">
        <f>VLOOKUP(EDUVIAL_2023[[#This Row],[INSTITUCIÓN O EMPRESA]],LISTAS!$J$1:$M$85,4,0)</f>
        <v>Centro</v>
      </c>
      <c r="W297" s="166" t="str">
        <f>VLOOKUP(EDUVIAL_2023[[#This Row],[INSTITUCIÓN O EMPRESA]],LISTAS!$J$1:$M$85,2,0)</f>
        <v>6.168450558868997, -75.5896412723252</v>
      </c>
      <c r="X297" s="117" t="b">
        <f>EXACT(EDUVIAL_2023[[#This Row],[TOTAL SEXO]],EDUVIAL_2023[[#This Row],[TOTAL RANGOS]])</f>
        <v>1</v>
      </c>
      <c r="Y297" s="116"/>
    </row>
    <row r="298" spans="1:25">
      <c r="A298" s="150">
        <v>45961</v>
      </c>
      <c r="B298" s="115" t="s">
        <v>576</v>
      </c>
      <c r="C298" s="129" t="s">
        <v>36</v>
      </c>
      <c r="D298" s="129" t="s">
        <v>217</v>
      </c>
      <c r="E298" s="130" t="s">
        <v>218</v>
      </c>
      <c r="F298" s="129" t="s">
        <v>43</v>
      </c>
      <c r="G298" s="121" t="s">
        <v>274</v>
      </c>
      <c r="H298" s="130" t="s">
        <v>357</v>
      </c>
      <c r="I298" s="129" t="s">
        <v>43</v>
      </c>
      <c r="J298" s="166">
        <v>65</v>
      </c>
      <c r="K298" s="166">
        <v>55</v>
      </c>
      <c r="L298" s="131">
        <f>EDUVIAL_2023[[#This Row],[HOMBRE]]+EDUVIAL_2023[[#This Row],[MUJER]]</f>
        <v>120</v>
      </c>
      <c r="M298" s="250">
        <v>0</v>
      </c>
      <c r="N298" s="116">
        <v>92</v>
      </c>
      <c r="O298" s="116">
        <v>18</v>
      </c>
      <c r="P298" s="116">
        <v>0</v>
      </c>
      <c r="Q298" s="116">
        <v>10</v>
      </c>
      <c r="R298" s="116">
        <v>0</v>
      </c>
      <c r="S298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120</v>
      </c>
      <c r="T298" s="132">
        <f>EDUVIAL_2023[[#This Row],[TOTAL SEXO]]</f>
        <v>120</v>
      </c>
      <c r="U298" s="116" t="str">
        <f>VLOOKUP(EDUVIAL_2023[[#This Row],[INSTITUCIÓN O EMPRESA]],LISTAS!$J$1:$M$85,3,0)</f>
        <v>Zona 9</v>
      </c>
      <c r="V298" s="116" t="str">
        <f>VLOOKUP(EDUVIAL_2023[[#This Row],[INSTITUCIÓN O EMPRESA]],LISTAS!$J$1:$M$85,4,0)</f>
        <v>Centro</v>
      </c>
      <c r="W298" s="19" t="s">
        <v>35</v>
      </c>
      <c r="X298" s="117" t="b">
        <f>EXACT(EDUVIAL_2023[[#This Row],[TOTAL SEXO]],EDUVIAL_2023[[#This Row],[TOTAL RANGOS]])</f>
        <v>1</v>
      </c>
      <c r="Y298" s="116"/>
    </row>
    <row r="299" spans="1:25" ht="28.9">
      <c r="A299" s="150">
        <v>45962</v>
      </c>
      <c r="B299" s="115" t="s">
        <v>653</v>
      </c>
      <c r="C299" s="129" t="s">
        <v>36</v>
      </c>
      <c r="D299" s="129" t="s">
        <v>217</v>
      </c>
      <c r="E299" s="130" t="s">
        <v>218</v>
      </c>
      <c r="F299" s="129" t="s">
        <v>240</v>
      </c>
      <c r="G299" s="121" t="s">
        <v>654</v>
      </c>
      <c r="H299" s="130" t="s">
        <v>344</v>
      </c>
      <c r="I299" s="129" t="s">
        <v>655</v>
      </c>
      <c r="J299" s="166">
        <v>0</v>
      </c>
      <c r="K299" s="166">
        <v>1</v>
      </c>
      <c r="L299" s="131">
        <f>EDUVIAL_2023[[#This Row],[HOMBRE]]+EDUVIAL_2023[[#This Row],[MUJER]]</f>
        <v>1</v>
      </c>
      <c r="M299" s="250">
        <v>0</v>
      </c>
      <c r="N299" s="116">
        <v>0</v>
      </c>
      <c r="O299" s="116">
        <v>0</v>
      </c>
      <c r="P299" s="116">
        <v>0</v>
      </c>
      <c r="Q299" s="116">
        <v>0</v>
      </c>
      <c r="R299" s="116">
        <v>1</v>
      </c>
      <c r="S299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299" s="132">
        <f>EDUVIAL_2023[[#This Row],[TOTAL SEXO]]</f>
        <v>1</v>
      </c>
      <c r="U299" s="116" t="s">
        <v>156</v>
      </c>
      <c r="V299" s="116" t="s">
        <v>656</v>
      </c>
      <c r="W299" s="75" t="s">
        <v>244</v>
      </c>
      <c r="X299" s="117" t="b">
        <f>EXACT(EDUVIAL_2023[[#This Row],[TOTAL SEXO]],EDUVIAL_2023[[#This Row],[TOTAL RANGOS]])</f>
        <v>1</v>
      </c>
      <c r="Y299" s="116"/>
    </row>
    <row r="300" spans="1:25" ht="28.9">
      <c r="A300" s="150">
        <v>45965</v>
      </c>
      <c r="B300" s="115" t="s">
        <v>653</v>
      </c>
      <c r="C300" s="129" t="s">
        <v>582</v>
      </c>
      <c r="D300" s="129" t="s">
        <v>583</v>
      </c>
      <c r="E300" s="130" t="s">
        <v>51</v>
      </c>
      <c r="F300" s="129" t="s">
        <v>346</v>
      </c>
      <c r="G300" s="121" t="s">
        <v>51</v>
      </c>
      <c r="H300" s="121" t="s">
        <v>657</v>
      </c>
      <c r="I300" s="129" t="s">
        <v>658</v>
      </c>
      <c r="J300" s="166">
        <v>2</v>
      </c>
      <c r="K300" s="166">
        <v>17</v>
      </c>
      <c r="L300" s="131">
        <f>EDUVIAL_2023[[#This Row],[HOMBRE]]+EDUVIAL_2023[[#This Row],[MUJER]]</f>
        <v>19</v>
      </c>
      <c r="M300" s="250">
        <v>0</v>
      </c>
      <c r="N300" s="116">
        <v>0</v>
      </c>
      <c r="O300" s="116">
        <v>0</v>
      </c>
      <c r="P300" s="116">
        <v>0</v>
      </c>
      <c r="Q300" s="116">
        <v>5</v>
      </c>
      <c r="R300" s="116">
        <v>12</v>
      </c>
      <c r="S300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17</v>
      </c>
      <c r="T300" s="132">
        <f>EDUVIAL_2023[[#This Row],[TOTAL SEXO]]</f>
        <v>19</v>
      </c>
      <c r="U300" s="116" t="s">
        <v>156</v>
      </c>
      <c r="V300" s="116" t="s">
        <v>656</v>
      </c>
      <c r="W300" s="166" t="s">
        <v>659</v>
      </c>
      <c r="X300" s="117" t="b">
        <f>EXACT(EDUVIAL_2023[[#This Row],[TOTAL SEXO]],EDUVIAL_2023[[#This Row],[TOTAL RANGOS]])</f>
        <v>0</v>
      </c>
      <c r="Y300" s="116"/>
    </row>
    <row r="301" spans="1:25" ht="28.9">
      <c r="A301" s="150">
        <v>45965</v>
      </c>
      <c r="B301" s="115" t="s">
        <v>653</v>
      </c>
      <c r="C301" s="129" t="s">
        <v>582</v>
      </c>
      <c r="D301" s="129" t="s">
        <v>583</v>
      </c>
      <c r="E301" s="130" t="s">
        <v>51</v>
      </c>
      <c r="F301" s="129" t="s">
        <v>79</v>
      </c>
      <c r="G301" s="121" t="s">
        <v>51</v>
      </c>
      <c r="H301" s="121" t="s">
        <v>657</v>
      </c>
      <c r="I301" s="129" t="s">
        <v>658</v>
      </c>
      <c r="J301" s="166">
        <v>0</v>
      </c>
      <c r="K301" s="166">
        <v>13</v>
      </c>
      <c r="L301" s="131">
        <f>EDUVIAL_2023[[#This Row],[HOMBRE]]+EDUVIAL_2023[[#This Row],[MUJER]]</f>
        <v>13</v>
      </c>
      <c r="M301" s="250">
        <v>0</v>
      </c>
      <c r="N301" s="116">
        <v>0</v>
      </c>
      <c r="O301" s="116">
        <v>0</v>
      </c>
      <c r="P301" s="116">
        <v>0</v>
      </c>
      <c r="Q301" s="116">
        <v>0</v>
      </c>
      <c r="R301" s="116">
        <v>13</v>
      </c>
      <c r="S301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13</v>
      </c>
      <c r="T301" s="132">
        <f>EDUVIAL_2023[[#This Row],[TOTAL SEXO]]</f>
        <v>13</v>
      </c>
      <c r="U301" s="116" t="s">
        <v>156</v>
      </c>
      <c r="V301" s="116" t="s">
        <v>656</v>
      </c>
      <c r="W301" s="166" t="s">
        <v>659</v>
      </c>
      <c r="X301" s="117" t="b">
        <f>EXACT(EDUVIAL_2023[[#This Row],[TOTAL SEXO]],EDUVIAL_2023[[#This Row],[TOTAL RANGOS]])</f>
        <v>1</v>
      </c>
      <c r="Y301" s="116"/>
    </row>
    <row r="302" spans="1:25" ht="28.9">
      <c r="A302" s="150">
        <v>45966</v>
      </c>
      <c r="B302" s="115" t="s">
        <v>653</v>
      </c>
      <c r="C302" s="129" t="s">
        <v>36</v>
      </c>
      <c r="D302" s="129" t="s">
        <v>217</v>
      </c>
      <c r="E302" s="130" t="s">
        <v>51</v>
      </c>
      <c r="F302" s="129" t="s">
        <v>79</v>
      </c>
      <c r="G302" s="121" t="s">
        <v>660</v>
      </c>
      <c r="H302" s="121" t="s">
        <v>661</v>
      </c>
      <c r="I302" s="129" t="s">
        <v>618</v>
      </c>
      <c r="J302" s="166">
        <v>1</v>
      </c>
      <c r="K302" s="166">
        <v>0</v>
      </c>
      <c r="L302" s="131">
        <f>EDUVIAL_2023[[#This Row],[HOMBRE]]+EDUVIAL_2023[[#This Row],[MUJER]]</f>
        <v>1</v>
      </c>
      <c r="M302" s="250">
        <v>0</v>
      </c>
      <c r="N302" s="116">
        <v>0</v>
      </c>
      <c r="O302" s="116">
        <v>0</v>
      </c>
      <c r="P302" s="116">
        <v>0</v>
      </c>
      <c r="Q302" s="116">
        <v>1</v>
      </c>
      <c r="R302" s="116">
        <v>0</v>
      </c>
      <c r="S302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302" s="132">
        <f>EDUVIAL_2023[[#This Row],[TOTAL SEXO]]</f>
        <v>1</v>
      </c>
      <c r="U302" s="116" t="s">
        <v>73</v>
      </c>
      <c r="V302" s="116" t="s">
        <v>74</v>
      </c>
      <c r="W302" s="166" t="s">
        <v>662</v>
      </c>
      <c r="X302" s="117" t="b">
        <f>EXACT(EDUVIAL_2023[[#This Row],[TOTAL SEXO]],EDUVIAL_2023[[#This Row],[TOTAL RANGOS]])</f>
        <v>1</v>
      </c>
      <c r="Y302" s="116"/>
    </row>
    <row r="303" spans="1:25" ht="43.15">
      <c r="A303" s="150">
        <v>45967</v>
      </c>
      <c r="B303" s="115" t="s">
        <v>653</v>
      </c>
      <c r="C303" s="129" t="s">
        <v>176</v>
      </c>
      <c r="D303" s="129" t="s">
        <v>226</v>
      </c>
      <c r="E303" s="130" t="s">
        <v>51</v>
      </c>
      <c r="F303" s="129" t="s">
        <v>240</v>
      </c>
      <c r="G303" s="121" t="s">
        <v>663</v>
      </c>
      <c r="H303" s="130" t="s">
        <v>340</v>
      </c>
      <c r="I303" s="129" t="s">
        <v>664</v>
      </c>
      <c r="J303" s="166">
        <v>20</v>
      </c>
      <c r="K303" s="166">
        <v>29</v>
      </c>
      <c r="L303" s="131">
        <f>EDUVIAL_2023[[#This Row],[HOMBRE]]+EDUVIAL_2023[[#This Row],[MUJER]]</f>
        <v>49</v>
      </c>
      <c r="M303" s="250">
        <v>0</v>
      </c>
      <c r="N303" s="116">
        <v>47</v>
      </c>
      <c r="O303" s="116">
        <v>0</v>
      </c>
      <c r="P303" s="116">
        <v>0</v>
      </c>
      <c r="Q303" s="116">
        <v>2</v>
      </c>
      <c r="R303" s="116">
        <v>0</v>
      </c>
      <c r="S303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49</v>
      </c>
      <c r="T303" s="132">
        <f>EDUVIAL_2023[[#This Row],[TOTAL SEXO]]</f>
        <v>49</v>
      </c>
      <c r="U303" s="116" t="str">
        <f>VLOOKUP(EDUVIAL_2023[[#This Row],[INSTITUCIÓN O EMPRESA]],LISTAS!$J$1:$M$85,3,0)</f>
        <v>Zona 9</v>
      </c>
      <c r="V303" s="116" t="str">
        <f>VLOOKUP(EDUVIAL_2023[[#This Row],[INSTITUCIÓN O EMPRESA]],LISTAS!$J$1:$M$85,4,0)</f>
        <v>Centro</v>
      </c>
      <c r="W303" s="166" t="str">
        <f>VLOOKUP(EDUVIAL_2023[[#This Row],[INSTITUCIÓN O EMPRESA]],LISTAS!$J$1:$M$85,2,0)</f>
        <v>6.168450558868997, -75.5896412723252</v>
      </c>
      <c r="X303" s="117" t="b">
        <f>EXACT(EDUVIAL_2023[[#This Row],[TOTAL SEXO]],EDUVIAL_2023[[#This Row],[TOTAL RANGOS]])</f>
        <v>1</v>
      </c>
      <c r="Y303" s="116"/>
    </row>
    <row r="304" spans="1:25" ht="28.9">
      <c r="A304" s="150">
        <v>45967</v>
      </c>
      <c r="B304" s="115" t="s">
        <v>653</v>
      </c>
      <c r="C304" s="129" t="s">
        <v>582</v>
      </c>
      <c r="D304" s="129" t="s">
        <v>583</v>
      </c>
      <c r="E304" s="130" t="s">
        <v>51</v>
      </c>
      <c r="F304" s="129" t="s">
        <v>79</v>
      </c>
      <c r="G304" s="121" t="s">
        <v>51</v>
      </c>
      <c r="H304" s="121" t="s">
        <v>657</v>
      </c>
      <c r="I304" s="129" t="s">
        <v>658</v>
      </c>
      <c r="J304" s="166">
        <v>2</v>
      </c>
      <c r="K304" s="166">
        <v>13</v>
      </c>
      <c r="L304" s="131">
        <f>EDUVIAL_2023[[#This Row],[HOMBRE]]+EDUVIAL_2023[[#This Row],[MUJER]]</f>
        <v>15</v>
      </c>
      <c r="M304" s="250">
        <v>0</v>
      </c>
      <c r="N304" s="116">
        <v>0</v>
      </c>
      <c r="O304" s="116">
        <v>0</v>
      </c>
      <c r="P304" s="116">
        <v>0</v>
      </c>
      <c r="Q304" s="116">
        <v>0</v>
      </c>
      <c r="R304" s="116">
        <v>15</v>
      </c>
      <c r="S304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15</v>
      </c>
      <c r="T304" s="132">
        <f>EDUVIAL_2023[[#This Row],[TOTAL SEXO]]</f>
        <v>15</v>
      </c>
      <c r="U304" s="116" t="s">
        <v>156</v>
      </c>
      <c r="V304" s="116" t="s">
        <v>656</v>
      </c>
      <c r="W304" s="166" t="s">
        <v>659</v>
      </c>
      <c r="X304" s="117" t="b">
        <f>EXACT(EDUVIAL_2023[[#This Row],[TOTAL SEXO]],EDUVIAL_2023[[#This Row],[TOTAL RANGOS]])</f>
        <v>1</v>
      </c>
      <c r="Y304" s="116"/>
    </row>
    <row r="305" spans="1:25" ht="28.9">
      <c r="A305" s="150">
        <v>45967</v>
      </c>
      <c r="B305" s="115" t="s">
        <v>653</v>
      </c>
      <c r="C305" s="129" t="s">
        <v>582</v>
      </c>
      <c r="D305" s="129" t="s">
        <v>583</v>
      </c>
      <c r="E305" s="130" t="s">
        <v>51</v>
      </c>
      <c r="F305" s="129" t="s">
        <v>79</v>
      </c>
      <c r="G305" s="121" t="s">
        <v>51</v>
      </c>
      <c r="H305" s="121" t="s">
        <v>657</v>
      </c>
      <c r="I305" s="129" t="s">
        <v>658</v>
      </c>
      <c r="J305" s="166">
        <v>6</v>
      </c>
      <c r="K305" s="166">
        <v>13</v>
      </c>
      <c r="L305" s="131">
        <f>EDUVIAL_2023[[#This Row],[HOMBRE]]+EDUVIAL_2023[[#This Row],[MUJER]]</f>
        <v>19</v>
      </c>
      <c r="M305" s="250">
        <v>0</v>
      </c>
      <c r="N305" s="116">
        <v>0</v>
      </c>
      <c r="O305" s="116">
        <v>0</v>
      </c>
      <c r="P305" s="116">
        <v>0</v>
      </c>
      <c r="Q305" s="116">
        <v>3</v>
      </c>
      <c r="R305" s="116">
        <v>16</v>
      </c>
      <c r="S305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19</v>
      </c>
      <c r="T305" s="132">
        <f>EDUVIAL_2023[[#This Row],[TOTAL SEXO]]</f>
        <v>19</v>
      </c>
      <c r="U305" s="116" t="s">
        <v>156</v>
      </c>
      <c r="V305" s="116" t="s">
        <v>656</v>
      </c>
      <c r="W305" s="166" t="s">
        <v>659</v>
      </c>
      <c r="X305" s="117" t="b">
        <f>EXACT(EDUVIAL_2023[[#This Row],[TOTAL SEXO]],EDUVIAL_2023[[#This Row],[TOTAL RANGOS]])</f>
        <v>1</v>
      </c>
      <c r="Y305" s="116"/>
    </row>
    <row r="306" spans="1:25" ht="28.9">
      <c r="A306" s="150">
        <v>45971</v>
      </c>
      <c r="B306" s="115" t="s">
        <v>653</v>
      </c>
      <c r="C306" s="129" t="s">
        <v>49</v>
      </c>
      <c r="D306" s="129" t="s">
        <v>50</v>
      </c>
      <c r="E306" s="130" t="s">
        <v>51</v>
      </c>
      <c r="F306" s="129" t="s">
        <v>79</v>
      </c>
      <c r="G306" s="121" t="s">
        <v>51</v>
      </c>
      <c r="H306" s="130" t="s">
        <v>340</v>
      </c>
      <c r="I306" s="129" t="s">
        <v>665</v>
      </c>
      <c r="J306" s="166">
        <v>1</v>
      </c>
      <c r="K306" s="166">
        <v>0</v>
      </c>
      <c r="L306" s="131">
        <f>EDUVIAL_2023[[#This Row],[HOMBRE]]+EDUVIAL_2023[[#This Row],[MUJER]]</f>
        <v>1</v>
      </c>
      <c r="M306" s="250">
        <v>0</v>
      </c>
      <c r="N306" s="116">
        <v>0</v>
      </c>
      <c r="O306" s="116">
        <v>0</v>
      </c>
      <c r="P306" s="116">
        <v>0</v>
      </c>
      <c r="Q306" s="116">
        <v>1</v>
      </c>
      <c r="R306" s="116">
        <v>0</v>
      </c>
      <c r="S306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1</v>
      </c>
      <c r="T306" s="132">
        <f>EDUVIAL_2023[[#This Row],[TOTAL SEXO]]</f>
        <v>1</v>
      </c>
      <c r="U306" s="116" t="str">
        <f>VLOOKUP(EDUVIAL_2023[[#This Row],[INSTITUCIÓN O EMPRESA]],LISTAS!$J$1:$M$85,3,0)</f>
        <v>Zona 9</v>
      </c>
      <c r="V306" s="116" t="str">
        <f>VLOOKUP(EDUVIAL_2023[[#This Row],[INSTITUCIÓN O EMPRESA]],LISTAS!$J$1:$M$85,4,0)</f>
        <v>Centro</v>
      </c>
      <c r="W306" s="166" t="str">
        <f>VLOOKUP(EDUVIAL_2023[[#This Row],[INSTITUCIÓN O EMPRESA]],LISTAS!$J$1:$M$85,2,0)</f>
        <v>6.168450558868997, -75.5896412723252</v>
      </c>
      <c r="X306" s="117" t="b">
        <f>EXACT(EDUVIAL_2023[[#This Row],[TOTAL SEXO]],EDUVIAL_2023[[#This Row],[TOTAL RANGOS]])</f>
        <v>1</v>
      </c>
      <c r="Y306" s="116"/>
    </row>
    <row r="307" spans="1:25" ht="28.9">
      <c r="A307" s="150">
        <v>45972</v>
      </c>
      <c r="B307" s="115" t="s">
        <v>653</v>
      </c>
      <c r="C307" s="129" t="s">
        <v>49</v>
      </c>
      <c r="D307" s="129" t="s">
        <v>89</v>
      </c>
      <c r="E307" s="130" t="s">
        <v>51</v>
      </c>
      <c r="F307" s="129" t="s">
        <v>79</v>
      </c>
      <c r="G307" s="130" t="s">
        <v>51</v>
      </c>
      <c r="H307" s="130" t="s">
        <v>454</v>
      </c>
      <c r="I307" s="129" t="s">
        <v>467</v>
      </c>
      <c r="J307" s="166">
        <v>6</v>
      </c>
      <c r="K307" s="166">
        <v>20</v>
      </c>
      <c r="L307" s="131">
        <f>EDUVIAL_2023[[#This Row],[HOMBRE]]+EDUVIAL_2023[[#This Row],[MUJER]]</f>
        <v>26</v>
      </c>
      <c r="M307" s="250">
        <v>0</v>
      </c>
      <c r="N307" s="116">
        <v>0</v>
      </c>
      <c r="O307" s="116">
        <v>0</v>
      </c>
      <c r="P307" s="116">
        <v>16</v>
      </c>
      <c r="Q307" s="116">
        <v>8</v>
      </c>
      <c r="R307" s="116">
        <v>2</v>
      </c>
      <c r="S307" s="109">
        <f>EDUVIAL_2023[[#This Row],[PRIMERA INFANCIA
(Hasta 5 años)]]+EDUVIAL_2023[[#This Row],[INFANCIA
(6 a 11 años)]]+EDUVIAL_2023[[#This Row],[ADOLESCENCIA
(12 años a 17 años)]]+EDUVIAL_2023[[#This Row],[ADULTOS-JÓVENES
(18 años a 28 años)]]+EDUVIAL_2023[[#This Row],[PERSONAS MAYORES
( Mayores de 60 años)]]+EDUVIAL_2023[[#This Row],[ADULTOS
(29 años a 60 años)]]</f>
        <v>26</v>
      </c>
      <c r="T307" s="132">
        <f>EDUVIAL_2023[[#This Row],[TOTAL SEXO]]</f>
        <v>26</v>
      </c>
      <c r="U307" s="106" t="s">
        <v>64</v>
      </c>
      <c r="V307" s="79" t="s">
        <v>65</v>
      </c>
      <c r="W307" s="125" t="s">
        <v>456</v>
      </c>
      <c r="X307" s="117" t="b">
        <f>EXACT(EDUVIAL_2023[[#This Row],[TOTAL SEXO]],EDUVIAL_2023[[#This Row],[TOTAL RANGOS]])</f>
        <v>1</v>
      </c>
      <c r="Y307" s="116"/>
    </row>
    <row r="308" spans="1:25">
      <c r="A308" s="150"/>
      <c r="B308" s="213"/>
      <c r="C308" s="214"/>
      <c r="D308" s="214"/>
      <c r="E308" s="215"/>
      <c r="F308" s="214"/>
      <c r="G308" s="215"/>
      <c r="H308" s="215"/>
      <c r="I308" s="214"/>
      <c r="J308" s="216"/>
      <c r="K308" s="216"/>
      <c r="L308" s="217"/>
      <c r="M308" s="254"/>
      <c r="N308" s="213"/>
      <c r="O308" s="213"/>
      <c r="P308" s="213"/>
      <c r="Q308" s="213"/>
      <c r="R308" s="213"/>
      <c r="S308" s="217"/>
      <c r="T308" s="218"/>
      <c r="U308" s="213"/>
      <c r="V308" s="213"/>
      <c r="W308" s="216"/>
      <c r="X308" s="219"/>
      <c r="Y308" s="213"/>
    </row>
    <row r="309" spans="1:25">
      <c r="A309" s="150"/>
      <c r="B309" s="213"/>
      <c r="C309" s="214"/>
      <c r="D309" s="214"/>
      <c r="E309" s="215"/>
      <c r="F309" s="214"/>
      <c r="G309" s="215"/>
      <c r="H309" s="215"/>
      <c r="I309" s="214"/>
      <c r="J309" s="216"/>
      <c r="K309" s="216"/>
      <c r="L309" s="217"/>
      <c r="M309" s="254"/>
      <c r="N309" s="213"/>
      <c r="O309" s="213"/>
      <c r="P309" s="213"/>
      <c r="Q309" s="213"/>
      <c r="R309" s="213"/>
      <c r="S309" s="217"/>
      <c r="T309" s="218"/>
      <c r="U309" s="213"/>
      <c r="V309" s="213"/>
      <c r="W309" s="216"/>
      <c r="X309" s="219"/>
      <c r="Y309" s="213"/>
    </row>
    <row r="310" spans="1:25">
      <c r="A310" s="220"/>
      <c r="B310" s="213"/>
      <c r="C310" s="214"/>
      <c r="D310" s="214"/>
      <c r="E310" s="215"/>
      <c r="F310" s="214"/>
      <c r="G310" s="215"/>
      <c r="H310" s="215"/>
      <c r="I310" s="214"/>
      <c r="J310" s="216"/>
      <c r="K310" s="216"/>
      <c r="L310" s="217"/>
      <c r="M310" s="254"/>
      <c r="N310" s="213"/>
      <c r="O310" s="213"/>
      <c r="P310" s="213"/>
      <c r="Q310" s="213"/>
      <c r="R310" s="213"/>
      <c r="S310" s="217"/>
      <c r="T310" s="218"/>
      <c r="U310" s="213"/>
      <c r="V310" s="213"/>
      <c r="W310" s="216"/>
      <c r="X310" s="219"/>
      <c r="Y310" s="213"/>
    </row>
    <row r="311" spans="1:25">
      <c r="A311" s="150"/>
      <c r="B311" s="213"/>
      <c r="C311" s="214"/>
      <c r="D311" s="214"/>
      <c r="E311" s="215"/>
      <c r="F311" s="214"/>
      <c r="G311" s="215"/>
      <c r="H311" s="215"/>
      <c r="I311" s="214"/>
      <c r="J311" s="216"/>
      <c r="K311" s="216"/>
      <c r="L311" s="217"/>
      <c r="M311" s="254"/>
      <c r="N311" s="213"/>
      <c r="O311" s="213"/>
      <c r="P311" s="213"/>
      <c r="Q311" s="213"/>
      <c r="R311" s="213"/>
      <c r="S311" s="217"/>
      <c r="T311" s="218"/>
      <c r="U311" s="213"/>
      <c r="V311" s="213"/>
      <c r="W311" s="216"/>
      <c r="X311" s="219"/>
      <c r="Y311" s="213"/>
    </row>
    <row r="312" spans="1:25">
      <c r="A312" s="150"/>
      <c r="B312" s="213"/>
      <c r="C312" s="214"/>
      <c r="D312" s="214"/>
      <c r="E312" s="215"/>
      <c r="F312" s="214"/>
      <c r="G312" s="215"/>
      <c r="H312" s="215"/>
      <c r="I312" s="214"/>
      <c r="J312" s="216"/>
      <c r="K312" s="216"/>
      <c r="L312" s="217"/>
      <c r="M312" s="254"/>
      <c r="N312" s="213"/>
      <c r="O312" s="213"/>
      <c r="P312" s="213"/>
      <c r="Q312" s="213"/>
      <c r="R312" s="213"/>
      <c r="S312" s="217"/>
      <c r="T312" s="218"/>
      <c r="U312" s="213"/>
      <c r="V312" s="213"/>
      <c r="W312" s="216"/>
      <c r="X312" s="219"/>
      <c r="Y312" s="213"/>
    </row>
    <row r="313" spans="1:25">
      <c r="A313" s="150"/>
      <c r="B313" s="213"/>
      <c r="C313" s="214"/>
      <c r="D313" s="214"/>
      <c r="E313" s="215"/>
      <c r="F313" s="214"/>
      <c r="G313" s="215"/>
      <c r="H313" s="215"/>
      <c r="I313" s="214"/>
      <c r="J313" s="216"/>
      <c r="K313" s="216"/>
      <c r="L313" s="217"/>
      <c r="M313" s="254"/>
      <c r="N313" s="213"/>
      <c r="O313" s="213"/>
      <c r="P313" s="213"/>
      <c r="Q313" s="213"/>
      <c r="R313" s="213"/>
      <c r="S313" s="217"/>
      <c r="T313" s="218"/>
      <c r="U313" s="213"/>
      <c r="V313" s="213"/>
      <c r="W313" s="216"/>
      <c r="X313" s="219"/>
      <c r="Y313" s="213"/>
    </row>
    <row r="314" spans="1:25">
      <c r="A314" s="220"/>
      <c r="B314" s="213"/>
      <c r="C314" s="214"/>
      <c r="D314" s="214"/>
      <c r="E314" s="215"/>
      <c r="F314" s="214"/>
      <c r="G314" s="215"/>
      <c r="H314" s="215"/>
      <c r="I314" s="214"/>
      <c r="J314" s="216"/>
      <c r="K314" s="216"/>
      <c r="L314" s="217"/>
      <c r="M314" s="254"/>
      <c r="N314" s="213"/>
      <c r="O314" s="213"/>
      <c r="P314" s="213"/>
      <c r="Q314" s="213"/>
      <c r="R314" s="213"/>
      <c r="S314" s="217"/>
      <c r="T314" s="218"/>
      <c r="U314" s="213"/>
      <c r="V314" s="213"/>
      <c r="W314" s="216"/>
      <c r="X314" s="219"/>
      <c r="Y314" s="213"/>
    </row>
    <row r="315" spans="1:25">
      <c r="A315" s="150"/>
      <c r="B315" s="213"/>
      <c r="C315" s="214"/>
      <c r="D315" s="214"/>
      <c r="E315" s="215"/>
      <c r="F315" s="214"/>
      <c r="G315" s="215"/>
      <c r="H315" s="215"/>
      <c r="I315" s="214"/>
      <c r="J315" s="216"/>
      <c r="K315" s="216"/>
      <c r="L315" s="217"/>
      <c r="M315" s="254"/>
      <c r="N315" s="213"/>
      <c r="O315" s="213"/>
      <c r="P315" s="213"/>
      <c r="Q315" s="213"/>
      <c r="R315" s="213"/>
      <c r="S315" s="217"/>
      <c r="T315" s="218"/>
      <c r="U315" s="213"/>
      <c r="V315" s="213"/>
      <c r="W315" s="216"/>
      <c r="X315" s="219"/>
      <c r="Y315" s="213"/>
    </row>
    <row r="316" spans="1:25">
      <c r="A316" s="150"/>
      <c r="B316" s="213"/>
      <c r="C316" s="214"/>
      <c r="D316" s="214"/>
      <c r="E316" s="215"/>
      <c r="F316" s="214"/>
      <c r="G316" s="215"/>
      <c r="H316" s="215"/>
      <c r="I316" s="214"/>
      <c r="J316" s="216"/>
      <c r="K316" s="216"/>
      <c r="L316" s="217"/>
      <c r="M316" s="254"/>
      <c r="N316" s="213"/>
      <c r="O316" s="213"/>
      <c r="P316" s="213"/>
      <c r="Q316" s="213"/>
      <c r="R316" s="213"/>
      <c r="S316" s="217"/>
      <c r="T316" s="218"/>
      <c r="U316" s="213"/>
      <c r="V316" s="213"/>
      <c r="W316" s="216"/>
      <c r="X316" s="219"/>
      <c r="Y316" s="213"/>
    </row>
    <row r="317" spans="1:25">
      <c r="A317" s="150"/>
      <c r="B317" s="213"/>
      <c r="C317" s="214"/>
      <c r="D317" s="214"/>
      <c r="E317" s="215"/>
      <c r="F317" s="214"/>
      <c r="G317" s="215"/>
      <c r="H317" s="215"/>
      <c r="I317" s="214"/>
      <c r="J317" s="216"/>
      <c r="K317" s="216"/>
      <c r="L317" s="217"/>
      <c r="M317" s="254"/>
      <c r="N317" s="213"/>
      <c r="O317" s="213"/>
      <c r="P317" s="213"/>
      <c r="Q317" s="213"/>
      <c r="R317" s="213"/>
      <c r="S317" s="217"/>
      <c r="T317" s="218"/>
      <c r="U317" s="213"/>
      <c r="V317" s="213"/>
      <c r="W317" s="216"/>
      <c r="X317" s="219"/>
      <c r="Y317" s="213"/>
    </row>
    <row r="318" spans="1:25">
      <c r="A318" s="220"/>
      <c r="B318" s="213"/>
      <c r="C318" s="214"/>
      <c r="D318" s="214"/>
      <c r="E318" s="215"/>
      <c r="F318" s="214"/>
      <c r="G318" s="215"/>
      <c r="H318" s="215"/>
      <c r="I318" s="214"/>
      <c r="J318" s="216"/>
      <c r="K318" s="216"/>
      <c r="L318" s="217"/>
      <c r="M318" s="254"/>
      <c r="N318" s="213"/>
      <c r="O318" s="213"/>
      <c r="P318" s="213"/>
      <c r="Q318" s="213"/>
      <c r="R318" s="213"/>
      <c r="S318" s="217"/>
      <c r="T318" s="218"/>
      <c r="U318" s="213"/>
      <c r="V318" s="213"/>
      <c r="W318" s="216"/>
      <c r="X318" s="219"/>
      <c r="Y318" s="213"/>
    </row>
    <row r="319" spans="1:25">
      <c r="A319" s="150"/>
      <c r="B319" s="213"/>
      <c r="C319" s="214"/>
      <c r="D319" s="214"/>
      <c r="E319" s="215"/>
      <c r="F319" s="214"/>
      <c r="G319" s="215"/>
      <c r="H319" s="215"/>
      <c r="I319" s="214"/>
      <c r="J319" s="216"/>
      <c r="K319" s="216"/>
      <c r="L319" s="217"/>
      <c r="M319" s="254"/>
      <c r="N319" s="213"/>
      <c r="O319" s="213"/>
      <c r="P319" s="213"/>
      <c r="Q319" s="213"/>
      <c r="R319" s="213"/>
      <c r="S319" s="217"/>
      <c r="T319" s="218"/>
      <c r="U319" s="213"/>
      <c r="V319" s="213"/>
      <c r="W319" s="216"/>
      <c r="X319" s="219"/>
      <c r="Y319" s="213"/>
    </row>
    <row r="320" spans="1:25">
      <c r="A320" s="150"/>
      <c r="B320" s="213"/>
      <c r="C320" s="214"/>
      <c r="D320" s="214"/>
      <c r="E320" s="215"/>
      <c r="F320" s="214"/>
      <c r="G320" s="215"/>
      <c r="H320" s="215"/>
      <c r="I320" s="214"/>
      <c r="J320" s="216"/>
      <c r="K320" s="216"/>
      <c r="L320" s="217"/>
      <c r="M320" s="254"/>
      <c r="N320" s="213"/>
      <c r="O320" s="213"/>
      <c r="P320" s="213"/>
      <c r="Q320" s="213"/>
      <c r="R320" s="213"/>
      <c r="S320" s="217"/>
      <c r="T320" s="218"/>
      <c r="U320" s="213"/>
      <c r="V320" s="213"/>
      <c r="W320" s="216"/>
      <c r="X320" s="219"/>
      <c r="Y320" s="213"/>
    </row>
    <row r="321" spans="1:25">
      <c r="A321" s="150"/>
      <c r="B321" s="213"/>
      <c r="C321" s="214"/>
      <c r="D321" s="214"/>
      <c r="E321" s="215"/>
      <c r="F321" s="214"/>
      <c r="G321" s="215"/>
      <c r="H321" s="215"/>
      <c r="I321" s="214"/>
      <c r="J321" s="216"/>
      <c r="K321" s="216"/>
      <c r="L321" s="217"/>
      <c r="M321" s="254"/>
      <c r="N321" s="213"/>
      <c r="O321" s="213"/>
      <c r="P321" s="213"/>
      <c r="Q321" s="213"/>
      <c r="R321" s="213"/>
      <c r="S321" s="217"/>
      <c r="T321" s="218"/>
      <c r="U321" s="213"/>
      <c r="V321" s="213"/>
      <c r="W321" s="216"/>
      <c r="X321" s="219"/>
      <c r="Y321" s="213"/>
    </row>
    <row r="322" spans="1:25">
      <c r="A322" s="220"/>
      <c r="B322" s="213"/>
      <c r="C322" s="214"/>
      <c r="D322" s="214"/>
      <c r="E322" s="215"/>
      <c r="F322" s="214"/>
      <c r="G322" s="215"/>
      <c r="H322" s="215"/>
      <c r="I322" s="214"/>
      <c r="J322" s="216"/>
      <c r="K322" s="216"/>
      <c r="L322" s="217"/>
      <c r="M322" s="254"/>
      <c r="N322" s="213"/>
      <c r="O322" s="213"/>
      <c r="P322" s="213"/>
      <c r="Q322" s="213"/>
      <c r="R322" s="213"/>
      <c r="S322" s="217"/>
      <c r="T322" s="218"/>
      <c r="U322" s="213"/>
      <c r="V322" s="213"/>
      <c r="W322" s="216"/>
      <c r="X322" s="219"/>
      <c r="Y322" s="213"/>
    </row>
    <row r="323" spans="1:25">
      <c r="H323" s="209"/>
    </row>
  </sheetData>
  <phoneticPr fontId="32" type="noConversion"/>
  <dataValidations count="1">
    <dataValidation type="list" allowBlank="1" showInputMessage="1" showErrorMessage="1" sqref="C44:D44 C32:D33 C38:D38 C48:D48 C50:D50 C57:D57 C55:D55 C63:D63 C77:D77 D81:D83 C103:D105 C67:C68 C113:D113 C42:C43 C114 C111:C112 C35:C37 C30 C45:C47 C49 C51 C56 C58:C59 C61:C62 D52:D53 C74 C80 C100:C101 C84:C94 C97:C98 C106:C109 C6:C9 C129 C21:C22 C24:C25 C17:C19 C39:C40 C64:C65 C120 D6:D30 C12:C14 C28" xr:uid="{00000000-0002-0000-0000-000000000000}"/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LISTAS!$B$2:$B$11</xm:f>
          </x14:formula1>
          <xm:sqref>C2:C5 C31</xm:sqref>
        </x14:dataValidation>
        <x14:dataValidation type="list" allowBlank="1" showInputMessage="1" showErrorMessage="1" xr:uid="{00000000-0002-0000-0000-000002000000}">
          <x14:formula1>
            <xm:f>LISTAS!$C$2:$C$38</xm:f>
          </x14:formula1>
          <xm:sqref>D2:D5 D31 D129:D202 D204:D322</xm:sqref>
        </x14:dataValidation>
        <x14:dataValidation type="list" allowBlank="1" showInputMessage="1" showErrorMessage="1" xr:uid="{00000000-0002-0000-0000-000003000000}">
          <x14:formula1>
            <xm:f>LISTAS!$D$2:$D$32</xm:f>
          </x14:formula1>
          <xm:sqref>E2:E11 E25 E31:E33 E44 E38 E50 E57 E63 E77 E89 E81:E83 E98 E105 E114 E120</xm:sqref>
        </x14:dataValidation>
        <x14:dataValidation type="list" allowBlank="1" showInputMessage="1" showErrorMessage="1" xr:uid="{00000000-0002-0000-0000-000004000000}">
          <x14:formula1>
            <xm:f>LISTAS!$D$1:$D$32</xm:f>
          </x14:formula1>
          <xm:sqref>E113 E26:E30 E55 E12:E24</xm:sqref>
        </x14:dataValidation>
        <x14:dataValidation type="list" allowBlank="1" showInputMessage="1" showErrorMessage="1" xr:uid="{00000000-0002-0000-0000-000005000000}">
          <x14:formula1>
            <xm:f>LISTAS!$J$2:$J$81</xm:f>
          </x14:formula1>
          <xm:sqref>H28:H30 H26 H13:H14 H74 H67 H48:H49 H56 H106:H110 H39 H17:H23 H45 H51 H95:H96 H99</xm:sqref>
        </x14:dataValidation>
        <x14:dataValidation type="list" allowBlank="1" showInputMessage="1" showErrorMessage="1" xr:uid="{00000000-0002-0000-0000-000006000000}">
          <x14:formula1>
            <xm:f>LISTAS!$J$2:$J$85</xm:f>
          </x14:formula1>
          <xm:sqref>H153:H154 H129:H147 H150:H151 H156:H173 H303 H175:H177 H179:H181 H306 H323 H206:H211 H214 H217 H219 H223:H227 H236:H240 H242:H247 H249:H255 H234 H221 H257:H263 H265:H266 H271 H276:H280 H282:H286 H288:H290 H292 H295 H297:H299 H183:H185 H187:H194 H196:H203</xm:sqref>
        </x14:dataValidation>
        <x14:dataValidation type="list" allowBlank="1" showInputMessage="1" showErrorMessage="1" xr:uid="{00000000-0002-0000-0000-000007000000}">
          <x14:formula1>
            <xm:f>LISTAS!$B$2:$B$10</xm:f>
          </x14:formula1>
          <xm:sqref>C78:C79 C95:C96 C99 C75:C76 C102 C110 C10:C11 C20 C23 C26:C27 C29 C41 C52:C54 C66 C115:C116 C118:C119 C121:C128 C15:C16 C130:C322</xm:sqref>
        </x14:dataValidation>
        <x14:dataValidation type="list" allowBlank="1" showInputMessage="1" showErrorMessage="1" xr:uid="{00000000-0002-0000-0000-000008000000}">
          <x14:formula1>
            <xm:f>LISTAS!$D$2:$D$33</xm:f>
          </x14:formula1>
          <xm:sqref>G148:G150 G190 G195 G212 G215:G216 G218 G222 G229 G239 G235 G231 G304:G309 G273 G281 G285 G287 G293:G294 G296 G298 G300:G301 G311:G313 E129:E322 G315:G317 G319:G321</xm:sqref>
        </x14:dataValidation>
        <x14:dataValidation type="list" allowBlank="1" showInputMessage="1" showErrorMessage="1" xr:uid="{00000000-0002-0000-0000-000009000000}">
          <x14:formula1>
            <xm:f>LISTAS!$A$2:$A$13</xm:f>
          </x14:formula1>
          <xm:sqref>B130:B322</xm:sqref>
        </x14:dataValidation>
        <x14:dataValidation type="list" allowBlank="1" showInputMessage="1" showErrorMessage="1" xr:uid="{00000000-0002-0000-0000-00000A000000}">
          <x14:formula1>
            <xm:f>LISTAS!$E$2:$E$7</xm:f>
          </x14:formula1>
          <xm:sqref>F2:F322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"/>
  <sheetViews>
    <sheetView showGridLines="0" topLeftCell="A10" zoomScale="80" zoomScaleNormal="80" workbookViewId="0">
      <selection activeCell="B16" sqref="B16"/>
    </sheetView>
  </sheetViews>
  <sheetFormatPr defaultColWidth="11.42578125" defaultRowHeight="14.45"/>
  <cols>
    <col min="1" max="1" width="3.140625" customWidth="1"/>
    <col min="2" max="2" width="21" bestFit="1" customWidth="1"/>
    <col min="3" max="3" width="18.28515625" bestFit="1" customWidth="1"/>
    <col min="4" max="4" width="7.7109375" bestFit="1" customWidth="1"/>
    <col min="5" max="5" width="7.85546875" bestFit="1" customWidth="1"/>
    <col min="6" max="6" width="19.42578125" bestFit="1" customWidth="1"/>
    <col min="7" max="7" width="37.28515625" bestFit="1" customWidth="1"/>
    <col min="8" max="8" width="21.7109375" bestFit="1" customWidth="1"/>
    <col min="9" max="9" width="37.28515625" bestFit="1" customWidth="1"/>
    <col min="10" max="10" width="12.140625" bestFit="1" customWidth="1"/>
    <col min="11" max="11" width="10.7109375" bestFit="1" customWidth="1"/>
    <col min="12" max="12" width="9.5703125" bestFit="1" customWidth="1"/>
    <col min="13" max="13" width="9" bestFit="1" customWidth="1"/>
    <col min="14" max="14" width="11" bestFit="1" customWidth="1"/>
    <col min="15" max="15" width="8.85546875" bestFit="1" customWidth="1"/>
    <col min="16" max="16" width="9.85546875" bestFit="1" customWidth="1"/>
    <col min="17" max="17" width="23.7109375" bestFit="1" customWidth="1"/>
    <col min="18" max="18" width="6.85546875" bestFit="1" customWidth="1"/>
    <col min="19" max="19" width="9" bestFit="1" customWidth="1"/>
    <col min="20" max="20" width="8.7109375" bestFit="1" customWidth="1"/>
    <col min="21" max="21" width="7.42578125" bestFit="1" customWidth="1"/>
    <col min="22" max="22" width="9.28515625" customWidth="1"/>
    <col min="23" max="23" width="9.140625" customWidth="1"/>
    <col min="24" max="24" width="12.28515625" bestFit="1" customWidth="1"/>
    <col min="25" max="25" width="12.7109375" customWidth="1"/>
    <col min="26" max="26" width="9.42578125" customWidth="1"/>
    <col min="27" max="27" width="12.28515625" customWidth="1"/>
    <col min="28" max="28" width="12.7109375" customWidth="1"/>
    <col min="29" max="29" width="11" customWidth="1"/>
    <col min="30" max="30" width="12.85546875" customWidth="1"/>
    <col min="31" max="31" width="8.85546875" customWidth="1"/>
    <col min="32" max="32" width="11.5703125" bestFit="1" customWidth="1"/>
    <col min="33" max="33" width="12.85546875" bestFit="1" customWidth="1"/>
    <col min="34" max="34" width="12.140625" bestFit="1" customWidth="1"/>
  </cols>
  <sheetData>
    <row r="1" spans="1:34" ht="5.2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34" ht="15" customHeight="1">
      <c r="A2" s="15"/>
      <c r="B2" s="26"/>
      <c r="C2" s="26"/>
      <c r="D2" s="26"/>
      <c r="E2" s="231" t="s">
        <v>666</v>
      </c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</row>
    <row r="3" spans="1:34" ht="15" customHeight="1">
      <c r="A3" s="15"/>
      <c r="B3" s="26"/>
      <c r="C3" s="26"/>
      <c r="D3" s="26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</row>
    <row r="4" spans="1:34" ht="15" customHeight="1">
      <c r="A4" s="15"/>
      <c r="B4" s="26"/>
      <c r="C4" s="26"/>
      <c r="D4" s="26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</row>
    <row r="5" spans="1:34" ht="15" customHeight="1">
      <c r="A5" s="15"/>
      <c r="B5" s="26"/>
      <c r="C5" s="26"/>
      <c r="D5" s="26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  <c r="Y5" s="231"/>
    </row>
    <row r="6" spans="1:34" ht="15" customHeight="1">
      <c r="A6" s="15"/>
      <c r="B6" s="26"/>
      <c r="C6" s="26"/>
      <c r="D6" s="26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  <c r="Y6" s="231"/>
    </row>
    <row r="7" spans="1:34" ht="15" customHeight="1">
      <c r="A7" s="15"/>
      <c r="B7" s="27"/>
      <c r="C7" s="27"/>
      <c r="D7" s="27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1"/>
      <c r="V7" s="231"/>
      <c r="W7" s="231"/>
      <c r="X7" s="231"/>
      <c r="Y7" s="231"/>
    </row>
    <row r="8" spans="1:34" ht="15" customHeight="1">
      <c r="A8" s="15"/>
      <c r="B8" s="27"/>
      <c r="C8" s="27"/>
      <c r="D8" s="27"/>
      <c r="E8" s="231"/>
      <c r="F8" s="231"/>
      <c r="G8" s="231"/>
      <c r="H8" s="231"/>
      <c r="I8" s="231"/>
      <c r="J8" s="231"/>
      <c r="K8" s="231"/>
      <c r="L8" s="231"/>
      <c r="M8" s="231"/>
      <c r="N8" s="231"/>
      <c r="O8" s="231"/>
      <c r="P8" s="231"/>
      <c r="Q8" s="231"/>
      <c r="R8" s="231"/>
      <c r="S8" s="231"/>
      <c r="T8" s="231"/>
      <c r="U8" s="231"/>
      <c r="V8" s="231"/>
      <c r="W8" s="231"/>
      <c r="X8" s="231"/>
      <c r="Y8" s="231"/>
    </row>
    <row r="9" spans="1:34">
      <c r="A9" s="15"/>
      <c r="B9" s="28" t="s">
        <v>667</v>
      </c>
      <c r="C9" s="29" t="s">
        <v>668</v>
      </c>
      <c r="D9" s="16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34">
      <c r="A10" s="15"/>
      <c r="B10" s="16"/>
      <c r="C10" s="16"/>
      <c r="D10" s="16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34">
      <c r="A11" s="15"/>
      <c r="B11" s="16" t="s">
        <v>669</v>
      </c>
      <c r="C11" s="226" t="s">
        <v>670</v>
      </c>
      <c r="D11" s="226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34">
      <c r="A12" s="15"/>
      <c r="B12" s="16" t="s">
        <v>671</v>
      </c>
      <c r="C12" s="30" t="s">
        <v>672</v>
      </c>
      <c r="D12" s="16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34">
      <c r="A13" s="15"/>
      <c r="B13" s="16" t="s">
        <v>673</v>
      </c>
      <c r="C13" s="30" t="s">
        <v>674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34">
      <c r="A14" s="15"/>
      <c r="B14" s="16"/>
      <c r="C14" s="30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34" s="33" customFormat="1">
      <c r="A15" s="31"/>
      <c r="B15" s="32" t="s">
        <v>675</v>
      </c>
      <c r="C15" s="80" t="s">
        <v>3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/>
      <c r="Z15"/>
      <c r="AA15"/>
      <c r="AB15"/>
      <c r="AC15"/>
      <c r="AD15"/>
      <c r="AE15"/>
      <c r="AF15"/>
      <c r="AG15"/>
      <c r="AH15"/>
    </row>
    <row r="16" spans="1:34" s="14" customFormat="1" ht="115.15">
      <c r="A16" s="34"/>
      <c r="B16" s="81" t="s">
        <v>1</v>
      </c>
      <c r="C16" s="36" t="s">
        <v>619</v>
      </c>
      <c r="D16" s="35" t="s">
        <v>148</v>
      </c>
      <c r="E16" s="35" t="s">
        <v>124</v>
      </c>
      <c r="F16" s="35" t="s">
        <v>50</v>
      </c>
      <c r="G16" s="36" t="s">
        <v>676</v>
      </c>
      <c r="H16" s="35" t="s">
        <v>305</v>
      </c>
      <c r="I16" s="35" t="s">
        <v>37</v>
      </c>
      <c r="J16" s="35" t="s">
        <v>68</v>
      </c>
      <c r="K16" s="35" t="s">
        <v>86</v>
      </c>
      <c r="L16" s="35" t="s">
        <v>89</v>
      </c>
      <c r="M16" s="36" t="s">
        <v>226</v>
      </c>
      <c r="N16" s="36" t="s">
        <v>254</v>
      </c>
      <c r="O16" s="35" t="s">
        <v>368</v>
      </c>
      <c r="P16" s="35" t="s">
        <v>27</v>
      </c>
      <c r="Q16" s="36" t="s">
        <v>677</v>
      </c>
      <c r="R16" s="35" t="s">
        <v>101</v>
      </c>
      <c r="S16" s="35" t="s">
        <v>678</v>
      </c>
      <c r="T16" s="36" t="s">
        <v>583</v>
      </c>
      <c r="U16" s="36" t="s">
        <v>217</v>
      </c>
      <c r="V16" s="36" t="s">
        <v>679</v>
      </c>
      <c r="W16" s="35" t="s">
        <v>680</v>
      </c>
      <c r="X16" s="35" t="s">
        <v>681</v>
      </c>
      <c r="Y16"/>
      <c r="Z16"/>
      <c r="AA16"/>
      <c r="AB16"/>
      <c r="AC16"/>
      <c r="AD16"/>
      <c r="AE16"/>
      <c r="AF16"/>
      <c r="AG16"/>
      <c r="AH16"/>
    </row>
    <row r="17" spans="1:24">
      <c r="A17" s="15"/>
      <c r="B17" s="12" t="s">
        <v>25</v>
      </c>
      <c r="C17" s="36"/>
      <c r="D17" s="36"/>
      <c r="E17" s="36"/>
      <c r="F17" s="36"/>
      <c r="G17" s="36"/>
      <c r="H17" s="36"/>
      <c r="I17" s="36">
        <v>1</v>
      </c>
      <c r="J17" s="36"/>
      <c r="K17" s="36">
        <v>1</v>
      </c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>
        <v>16</v>
      </c>
      <c r="X17" s="36">
        <v>18</v>
      </c>
    </row>
    <row r="18" spans="1:24">
      <c r="A18" s="15"/>
      <c r="B18" s="12" t="s">
        <v>46</v>
      </c>
      <c r="C18" s="36"/>
      <c r="D18" s="36">
        <v>7</v>
      </c>
      <c r="E18" s="36"/>
      <c r="F18" s="36">
        <v>124</v>
      </c>
      <c r="G18" s="36"/>
      <c r="H18" s="36">
        <v>54</v>
      </c>
      <c r="I18" s="36">
        <v>1</v>
      </c>
      <c r="J18" s="36">
        <v>1</v>
      </c>
      <c r="K18" s="36">
        <v>5</v>
      </c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>
        <v>192</v>
      </c>
    </row>
    <row r="19" spans="1:24">
      <c r="A19" s="15"/>
      <c r="B19" s="12" t="s">
        <v>120</v>
      </c>
      <c r="C19" s="36"/>
      <c r="D19" s="36">
        <v>7</v>
      </c>
      <c r="E19" s="36">
        <v>20</v>
      </c>
      <c r="F19" s="36">
        <v>26</v>
      </c>
      <c r="G19" s="36"/>
      <c r="H19" s="36">
        <v>36</v>
      </c>
      <c r="I19" s="36">
        <v>5</v>
      </c>
      <c r="J19" s="36"/>
      <c r="K19" s="36"/>
      <c r="L19" s="36">
        <v>7</v>
      </c>
      <c r="M19" s="36"/>
      <c r="N19" s="36"/>
      <c r="O19" s="36"/>
      <c r="P19" s="36">
        <v>42</v>
      </c>
      <c r="Q19" s="36"/>
      <c r="R19" s="36">
        <v>15</v>
      </c>
      <c r="S19" s="36">
        <v>250</v>
      </c>
      <c r="T19" s="36"/>
      <c r="U19" s="36"/>
      <c r="V19" s="36"/>
      <c r="W19" s="36"/>
      <c r="X19" s="36">
        <v>408</v>
      </c>
    </row>
    <row r="20" spans="1:24">
      <c r="A20" s="15"/>
      <c r="B20" s="12" t="s">
        <v>682</v>
      </c>
      <c r="C20" s="36"/>
      <c r="D20" s="36">
        <v>5</v>
      </c>
      <c r="E20" s="36">
        <v>41</v>
      </c>
      <c r="F20" s="36">
        <v>2</v>
      </c>
      <c r="G20" s="36">
        <v>5</v>
      </c>
      <c r="H20" s="36"/>
      <c r="I20" s="36">
        <v>2</v>
      </c>
      <c r="J20" s="36">
        <v>44</v>
      </c>
      <c r="K20" s="36">
        <v>2</v>
      </c>
      <c r="L20" s="36"/>
      <c r="M20" s="36">
        <v>275</v>
      </c>
      <c r="N20" s="36">
        <v>254</v>
      </c>
      <c r="O20" s="36"/>
      <c r="P20" s="36"/>
      <c r="Q20" s="36">
        <v>619</v>
      </c>
      <c r="R20" s="36"/>
      <c r="S20" s="36"/>
      <c r="T20" s="36">
        <v>22</v>
      </c>
      <c r="U20" s="36">
        <v>358</v>
      </c>
      <c r="V20" s="36">
        <v>60</v>
      </c>
      <c r="W20" s="36"/>
      <c r="X20" s="36">
        <v>1689</v>
      </c>
    </row>
    <row r="21" spans="1:24">
      <c r="A21" s="15"/>
      <c r="B21" s="12" t="s">
        <v>238</v>
      </c>
      <c r="C21" s="36">
        <v>17</v>
      </c>
      <c r="D21" s="36">
        <v>8</v>
      </c>
      <c r="E21" s="36"/>
      <c r="F21" s="36">
        <v>44</v>
      </c>
      <c r="G21" s="36"/>
      <c r="H21" s="36"/>
      <c r="I21" s="36">
        <v>2</v>
      </c>
      <c r="J21" s="36">
        <v>20</v>
      </c>
      <c r="K21" s="36">
        <v>9</v>
      </c>
      <c r="L21" s="36">
        <v>75</v>
      </c>
      <c r="M21" s="36">
        <v>598</v>
      </c>
      <c r="N21" s="36">
        <v>5</v>
      </c>
      <c r="O21" s="36">
        <v>37</v>
      </c>
      <c r="P21" s="36">
        <v>208</v>
      </c>
      <c r="Q21" s="36"/>
      <c r="R21" s="36">
        <v>83</v>
      </c>
      <c r="S21" s="36"/>
      <c r="T21" s="36"/>
      <c r="U21" s="36">
        <v>14</v>
      </c>
      <c r="V21" s="36"/>
      <c r="W21" s="36"/>
      <c r="X21" s="36">
        <v>1120</v>
      </c>
    </row>
    <row r="22" spans="1:24">
      <c r="A22" s="15"/>
      <c r="B22" s="37" t="s">
        <v>681</v>
      </c>
      <c r="C22" s="35">
        <v>17</v>
      </c>
      <c r="D22" s="35">
        <v>27</v>
      </c>
      <c r="E22" s="35">
        <v>61</v>
      </c>
      <c r="F22" s="35">
        <v>196</v>
      </c>
      <c r="G22" s="35">
        <v>5</v>
      </c>
      <c r="H22" s="35">
        <v>90</v>
      </c>
      <c r="I22" s="35">
        <v>11</v>
      </c>
      <c r="J22" s="35">
        <v>65</v>
      </c>
      <c r="K22" s="35">
        <v>17</v>
      </c>
      <c r="L22" s="35">
        <v>82</v>
      </c>
      <c r="M22" s="35">
        <v>873</v>
      </c>
      <c r="N22" s="35">
        <v>259</v>
      </c>
      <c r="O22" s="35">
        <v>37</v>
      </c>
      <c r="P22" s="35">
        <v>250</v>
      </c>
      <c r="Q22" s="35">
        <v>619</v>
      </c>
      <c r="R22" s="35">
        <v>98</v>
      </c>
      <c r="S22" s="35">
        <v>250</v>
      </c>
      <c r="T22" s="35">
        <v>22</v>
      </c>
      <c r="U22" s="35">
        <v>372</v>
      </c>
      <c r="V22" s="35">
        <v>60</v>
      </c>
      <c r="W22" s="35">
        <v>16</v>
      </c>
      <c r="X22" s="35">
        <v>3427</v>
      </c>
    </row>
    <row r="23" spans="1:24">
      <c r="A23" s="15"/>
    </row>
    <row r="24" spans="1:24">
      <c r="A24" s="15"/>
    </row>
    <row r="25" spans="1:24">
      <c r="A25" s="15"/>
    </row>
    <row r="26" spans="1:24">
      <c r="A26" s="15"/>
    </row>
    <row r="27" spans="1:24">
      <c r="A27" s="15"/>
    </row>
    <row r="28" spans="1:24">
      <c r="A28" s="15"/>
    </row>
    <row r="29" spans="1:24">
      <c r="A29" s="15"/>
    </row>
    <row r="30" spans="1:24" ht="15" customHeight="1">
      <c r="A30" s="15"/>
      <c r="B30" s="16"/>
      <c r="C30" s="30"/>
      <c r="D30" s="15"/>
      <c r="E30" s="15"/>
      <c r="F30" s="15"/>
      <c r="G30" s="15"/>
      <c r="H30" s="15"/>
      <c r="I30" s="15"/>
    </row>
    <row r="31" spans="1:24" ht="15" thickBot="1">
      <c r="A31" s="15"/>
      <c r="B31" s="16" t="s">
        <v>669</v>
      </c>
      <c r="C31" s="255" t="s">
        <v>683</v>
      </c>
      <c r="D31" s="255"/>
      <c r="E31" s="255"/>
      <c r="F31" s="255"/>
      <c r="G31" s="15"/>
      <c r="H31" s="15"/>
      <c r="I31" s="15"/>
      <c r="J31" s="15"/>
      <c r="K31" s="15"/>
      <c r="L31" s="15"/>
    </row>
    <row r="32" spans="1:24">
      <c r="A32" s="15"/>
      <c r="B32" s="38" t="s">
        <v>671</v>
      </c>
      <c r="C32" s="232" t="s">
        <v>684</v>
      </c>
      <c r="D32" s="232"/>
      <c r="E32" s="232"/>
      <c r="F32" s="232"/>
      <c r="G32" s="39"/>
      <c r="H32" s="39"/>
      <c r="I32" s="15"/>
      <c r="J32" s="15"/>
      <c r="K32" s="15"/>
      <c r="L32" s="15"/>
      <c r="P32" s="233" t="s">
        <v>685</v>
      </c>
      <c r="Q32" s="234"/>
      <c r="R32" s="234"/>
      <c r="S32" s="234"/>
      <c r="T32" s="234"/>
      <c r="U32" s="234"/>
      <c r="V32" s="235"/>
    </row>
    <row r="33" spans="1:27">
      <c r="A33" s="15"/>
      <c r="B33" s="16" t="s">
        <v>673</v>
      </c>
      <c r="C33" s="256" t="s">
        <v>686</v>
      </c>
      <c r="D33" s="256"/>
      <c r="E33" s="256"/>
      <c r="F33" s="256"/>
      <c r="G33" s="15"/>
      <c r="H33" s="15"/>
      <c r="I33" s="15"/>
      <c r="J33" s="15"/>
      <c r="K33" s="15"/>
      <c r="L33" s="15"/>
      <c r="M33" s="40" t="s">
        <v>687</v>
      </c>
      <c r="N33" s="18">
        <v>4072</v>
      </c>
      <c r="O33" s="41"/>
      <c r="P33" s="236"/>
      <c r="Q33" s="237"/>
      <c r="R33" s="237"/>
      <c r="S33" s="237"/>
      <c r="T33" s="237"/>
      <c r="U33" s="237"/>
      <c r="V33" s="238"/>
      <c r="Y33" s="42"/>
    </row>
    <row r="34" spans="1:27" ht="15" customHeight="1">
      <c r="A34" s="15"/>
      <c r="B34" s="16"/>
      <c r="C34" s="16"/>
      <c r="D34" s="15"/>
      <c r="E34" s="15"/>
      <c r="F34" s="15"/>
      <c r="G34" s="15"/>
      <c r="H34" s="15"/>
      <c r="I34" s="15"/>
      <c r="J34" s="15"/>
      <c r="K34" s="15"/>
      <c r="L34" s="15"/>
      <c r="M34" s="43" t="s">
        <v>688</v>
      </c>
      <c r="N34" s="44">
        <v>618</v>
      </c>
      <c r="O34" s="15"/>
      <c r="P34" s="236"/>
      <c r="Q34" s="237"/>
      <c r="R34" s="237"/>
      <c r="S34" s="237"/>
      <c r="T34" s="237"/>
      <c r="U34" s="237"/>
      <c r="V34" s="238"/>
    </row>
    <row r="35" spans="1:27">
      <c r="A35" s="15"/>
      <c r="B35" s="17" t="s">
        <v>689</v>
      </c>
      <c r="C35" s="15"/>
      <c r="D35" s="15"/>
      <c r="E35" s="15"/>
      <c r="F35" s="15"/>
      <c r="H35" s="15"/>
      <c r="I35" s="15"/>
      <c r="J35" s="45"/>
      <c r="K35" s="46"/>
      <c r="L35" s="46"/>
      <c r="M35" s="43" t="s">
        <v>690</v>
      </c>
      <c r="N35" s="44"/>
      <c r="O35" s="15"/>
      <c r="P35" s="236"/>
      <c r="Q35" s="237"/>
      <c r="R35" s="237"/>
      <c r="S35" s="237"/>
      <c r="T35" s="237"/>
      <c r="U35" s="237"/>
      <c r="V35" s="238"/>
      <c r="Z35" s="46"/>
      <c r="AA35" s="47"/>
    </row>
    <row r="36" spans="1:27">
      <c r="A36" s="15"/>
      <c r="B36" s="16"/>
      <c r="C36" s="16"/>
      <c r="D36" s="15"/>
      <c r="E36" s="15"/>
      <c r="F36" s="15"/>
      <c r="G36" s="15"/>
      <c r="H36" s="15"/>
      <c r="I36" s="15"/>
      <c r="J36" s="10"/>
      <c r="K36" s="25"/>
      <c r="L36" s="25"/>
      <c r="M36" s="43" t="s">
        <v>691</v>
      </c>
      <c r="N36" s="44"/>
      <c r="O36" s="15"/>
      <c r="P36" s="236"/>
      <c r="Q36" s="237"/>
      <c r="R36" s="237"/>
      <c r="S36" s="237"/>
      <c r="T36" s="237"/>
      <c r="U36" s="237"/>
      <c r="V36" s="238"/>
      <c r="Z36" s="25"/>
      <c r="AA36" s="25"/>
    </row>
    <row r="37" spans="1:27">
      <c r="A37" s="15"/>
      <c r="B37" s="15"/>
      <c r="C37" s="15"/>
      <c r="D37" s="15"/>
      <c r="E37" s="15"/>
      <c r="F37" s="15"/>
      <c r="G37" s="15"/>
      <c r="H37" s="15"/>
      <c r="I37" s="45"/>
      <c r="M37" s="43" t="s">
        <v>692</v>
      </c>
      <c r="N37" s="44"/>
      <c r="O37" s="46"/>
      <c r="P37" s="236"/>
      <c r="Q37" s="237"/>
      <c r="R37" s="237"/>
      <c r="S37" s="237"/>
      <c r="T37" s="237"/>
      <c r="U37" s="237"/>
      <c r="V37" s="238"/>
    </row>
    <row r="38" spans="1:27" ht="15" thickBot="1">
      <c r="A38" s="15"/>
      <c r="B38" s="15"/>
      <c r="C38" s="15"/>
      <c r="D38" s="15"/>
      <c r="E38" s="15"/>
      <c r="F38" s="15"/>
      <c r="G38" s="15"/>
      <c r="H38" s="15"/>
      <c r="I38" s="10"/>
      <c r="O38" s="25"/>
      <c r="P38" s="236"/>
      <c r="Q38" s="237"/>
      <c r="R38" s="237"/>
      <c r="S38" s="237"/>
      <c r="T38" s="237"/>
      <c r="U38" s="237"/>
      <c r="V38" s="238"/>
    </row>
    <row r="39" spans="1:27" ht="18.600000000000001" thickBot="1">
      <c r="A39" s="15"/>
      <c r="B39" s="48" t="s">
        <v>669</v>
      </c>
      <c r="C39" s="242" t="s">
        <v>693</v>
      </c>
      <c r="D39" s="243"/>
      <c r="E39" s="243"/>
      <c r="F39" s="244"/>
      <c r="G39" s="15"/>
      <c r="H39" s="15"/>
      <c r="I39" s="10"/>
      <c r="M39" s="49" t="s">
        <v>694</v>
      </c>
      <c r="N39" s="50">
        <f>N34+N35+N36+N37</f>
        <v>618</v>
      </c>
      <c r="P39" s="236"/>
      <c r="Q39" s="237"/>
      <c r="R39" s="237"/>
      <c r="S39" s="237"/>
      <c r="T39" s="237"/>
      <c r="U39" s="237"/>
      <c r="V39" s="238"/>
      <c r="W39" s="34"/>
      <c r="X39" s="34"/>
      <c r="Y39" s="34"/>
    </row>
    <row r="40" spans="1:27" ht="51.75" customHeight="1" thickBot="1">
      <c r="A40" s="15"/>
      <c r="B40" s="48" t="s">
        <v>671</v>
      </c>
      <c r="C40" s="245" t="s">
        <v>695</v>
      </c>
      <c r="D40" s="246"/>
      <c r="E40" s="246"/>
      <c r="F40" s="247"/>
      <c r="G40" s="15"/>
      <c r="H40" s="15"/>
      <c r="I40" s="10"/>
      <c r="M40" s="51" t="s">
        <v>696</v>
      </c>
      <c r="N40" s="52">
        <f>N34-N33</f>
        <v>-3454</v>
      </c>
      <c r="P40" s="239"/>
      <c r="Q40" s="240"/>
      <c r="R40" s="240"/>
      <c r="S40" s="240"/>
      <c r="T40" s="240"/>
      <c r="U40" s="240"/>
      <c r="V40" s="241"/>
      <c r="W40" s="34"/>
      <c r="X40" s="34"/>
      <c r="Y40" s="34"/>
    </row>
    <row r="41" spans="1:27" ht="40.5" customHeight="1">
      <c r="A41" s="15"/>
      <c r="B41" s="48" t="s">
        <v>673</v>
      </c>
      <c r="C41" s="222" t="s">
        <v>697</v>
      </c>
      <c r="D41" s="222"/>
      <c r="E41" s="222"/>
      <c r="F41" s="222"/>
      <c r="G41" s="15"/>
      <c r="H41" s="15"/>
      <c r="I41" s="53"/>
      <c r="S41" s="41"/>
      <c r="T41" s="41"/>
      <c r="U41" s="41"/>
      <c r="V41" s="41"/>
      <c r="W41" s="41"/>
      <c r="X41" s="41"/>
      <c r="Y41" s="41"/>
    </row>
    <row r="42" spans="1:27" ht="15" thickBot="1">
      <c r="A42" s="15"/>
      <c r="B42" s="15"/>
      <c r="C42" s="15"/>
      <c r="D42" s="15"/>
      <c r="E42" s="15"/>
      <c r="F42" s="15"/>
      <c r="G42" s="15"/>
      <c r="H42" s="15"/>
      <c r="I42" s="15"/>
    </row>
    <row r="43" spans="1:27" ht="103.5" customHeight="1" thickBot="1">
      <c r="A43" s="15"/>
      <c r="B43" s="223" t="s">
        <v>698</v>
      </c>
      <c r="C43" s="224"/>
      <c r="D43" s="225"/>
      <c r="E43" s="54" t="s">
        <v>699</v>
      </c>
      <c r="F43" s="55" t="s">
        <v>700</v>
      </c>
      <c r="G43" s="56" t="s">
        <v>701</v>
      </c>
      <c r="H43" s="15"/>
      <c r="I43" s="15"/>
    </row>
    <row r="44" spans="1:27">
      <c r="A44" s="15"/>
      <c r="B44" s="15"/>
      <c r="C44" s="15"/>
      <c r="D44" s="15"/>
      <c r="E44" s="15"/>
      <c r="F44" s="15"/>
      <c r="G44" s="15"/>
      <c r="H44" s="15"/>
      <c r="I44" s="15"/>
    </row>
    <row r="45" spans="1:27">
      <c r="A45" s="15"/>
      <c r="B45" s="16" t="s">
        <v>669</v>
      </c>
      <c r="C45" s="226" t="s">
        <v>702</v>
      </c>
      <c r="D45" s="226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spans="1:27">
      <c r="A46" s="15"/>
      <c r="B46" s="16" t="s">
        <v>671</v>
      </c>
      <c r="C46" s="57" t="s">
        <v>703</v>
      </c>
      <c r="D46" s="58"/>
      <c r="E46" s="58"/>
      <c r="F46" s="58"/>
      <c r="G46" s="58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spans="1:27">
      <c r="A47" s="15"/>
      <c r="B47" s="16" t="s">
        <v>673</v>
      </c>
      <c r="C47" s="227" t="s">
        <v>704</v>
      </c>
      <c r="D47" s="227"/>
      <c r="E47" s="227"/>
      <c r="F47" s="227"/>
      <c r="G47" s="227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spans="1:27">
      <c r="A48" s="15"/>
      <c r="B48" s="15"/>
      <c r="C48" s="227"/>
      <c r="D48" s="227"/>
      <c r="E48" s="227"/>
      <c r="F48" s="227"/>
      <c r="G48" s="227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spans="1:17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spans="1:17">
      <c r="A50" s="15"/>
      <c r="B50" s="228" t="s">
        <v>705</v>
      </c>
      <c r="C50" s="229"/>
      <c r="D50" s="229"/>
      <c r="E50" s="229"/>
      <c r="F50" s="230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spans="1:17" ht="55.15">
      <c r="A51" s="15"/>
      <c r="B51" s="59" t="s">
        <v>706</v>
      </c>
      <c r="C51" s="60" t="s">
        <v>707</v>
      </c>
      <c r="D51" s="60" t="s">
        <v>708</v>
      </c>
      <c r="E51" s="60" t="s">
        <v>709</v>
      </c>
      <c r="F51" s="60" t="s">
        <v>710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spans="1:17" ht="34.15">
      <c r="A52" s="15"/>
      <c r="B52" s="61" t="s">
        <v>711</v>
      </c>
      <c r="C52" s="62" t="s">
        <v>712</v>
      </c>
      <c r="D52" s="62" t="s">
        <v>713</v>
      </c>
      <c r="E52" s="63">
        <v>1</v>
      </c>
      <c r="F52" s="64">
        <v>1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spans="1:17" ht="34.15">
      <c r="A53" s="15"/>
      <c r="B53" s="61" t="s">
        <v>714</v>
      </c>
      <c r="C53" s="62" t="s">
        <v>712</v>
      </c>
      <c r="D53" s="62" t="s">
        <v>715</v>
      </c>
      <c r="E53" s="63">
        <v>3</v>
      </c>
      <c r="F53" s="64">
        <v>5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spans="1:17" ht="57">
      <c r="A54" s="15"/>
      <c r="B54" s="61" t="s">
        <v>716</v>
      </c>
      <c r="C54" s="62" t="s">
        <v>712</v>
      </c>
      <c r="D54" s="62" t="s">
        <v>715</v>
      </c>
      <c r="E54" s="63">
        <v>20</v>
      </c>
      <c r="F54" s="64">
        <v>1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spans="1:17" ht="57">
      <c r="A55" s="15"/>
      <c r="B55" s="61" t="s">
        <v>717</v>
      </c>
      <c r="C55" s="62" t="s">
        <v>712</v>
      </c>
      <c r="D55" s="65" t="s">
        <v>715</v>
      </c>
      <c r="E55" s="63">
        <v>20</v>
      </c>
      <c r="F55" s="64">
        <v>6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spans="1:17" ht="45.6">
      <c r="A56" s="15"/>
      <c r="B56" s="61" t="s">
        <v>718</v>
      </c>
      <c r="C56" s="62" t="s">
        <v>712</v>
      </c>
      <c r="D56" s="62" t="s">
        <v>715</v>
      </c>
      <c r="E56" s="63">
        <v>1</v>
      </c>
      <c r="F56" s="64">
        <v>3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spans="1:17" ht="57">
      <c r="A57" s="15"/>
      <c r="B57" s="61" t="s">
        <v>719</v>
      </c>
      <c r="C57" s="62" t="s">
        <v>712</v>
      </c>
      <c r="D57" s="65" t="s">
        <v>715</v>
      </c>
      <c r="E57" s="63">
        <v>50</v>
      </c>
      <c r="F57" s="64">
        <v>0</v>
      </c>
      <c r="G57" s="34"/>
      <c r="H57" s="15"/>
      <c r="I57" s="15"/>
      <c r="J57" s="15"/>
      <c r="K57" s="15"/>
      <c r="L57" s="15"/>
      <c r="M57" s="15"/>
      <c r="N57" s="15"/>
      <c r="O57" s="15"/>
      <c r="P57" s="15"/>
      <c r="Q57" s="15"/>
    </row>
    <row r="58" spans="1:17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spans="1:17" ht="45.6">
      <c r="A59" s="15"/>
      <c r="B59" s="66" t="s">
        <v>720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</row>
    <row r="60" spans="1:17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</row>
    <row r="61" spans="1:17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</row>
    <row r="62" spans="1:17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spans="1:17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</row>
  </sheetData>
  <mergeCells count="13">
    <mergeCell ref="E2:Y8"/>
    <mergeCell ref="C11:D11"/>
    <mergeCell ref="C31:F31"/>
    <mergeCell ref="C32:F32"/>
    <mergeCell ref="P32:V40"/>
    <mergeCell ref="C33:F33"/>
    <mergeCell ref="C39:F39"/>
    <mergeCell ref="C40:F40"/>
    <mergeCell ref="C41:F41"/>
    <mergeCell ref="B43:D43"/>
    <mergeCell ref="C45:D45"/>
    <mergeCell ref="C47:G48"/>
    <mergeCell ref="B50:F50"/>
  </mergeCells>
  <pageMargins left="0.7" right="0.7" top="0.75" bottom="0.75" header="0.3" footer="0.3"/>
  <pageSetup paperSize="9" orientation="portrait" r:id="rId2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74"/>
  <sheetViews>
    <sheetView showGridLines="0" topLeftCell="A121" zoomScale="80" zoomScaleNormal="80" workbookViewId="0">
      <selection activeCell="C147" sqref="C147"/>
    </sheetView>
  </sheetViews>
  <sheetFormatPr defaultColWidth="11.42578125" defaultRowHeight="14.45"/>
  <cols>
    <col min="1" max="1" width="3.140625" customWidth="1"/>
    <col min="2" max="2" width="79.140625" bestFit="1" customWidth="1"/>
    <col min="3" max="3" width="54.28515625" bestFit="1" customWidth="1"/>
    <col min="4" max="4" width="7.7109375" bestFit="1" customWidth="1"/>
    <col min="5" max="5" width="43.28515625" bestFit="1" customWidth="1"/>
    <col min="6" max="6" width="40.28515625" bestFit="1" customWidth="1"/>
    <col min="7" max="9" width="6.7109375" bestFit="1" customWidth="1"/>
    <col min="10" max="10" width="7.140625" bestFit="1" customWidth="1"/>
    <col min="11" max="13" width="6.7109375" bestFit="1" customWidth="1"/>
    <col min="14" max="15" width="12.28515625" bestFit="1" customWidth="1"/>
    <col min="16" max="16" width="9.85546875" bestFit="1" customWidth="1"/>
    <col min="17" max="17" width="23.7109375" bestFit="1" customWidth="1"/>
    <col min="18" max="18" width="6.85546875" bestFit="1" customWidth="1"/>
    <col min="19" max="19" width="9" bestFit="1" customWidth="1"/>
    <col min="20" max="20" width="8.7109375" bestFit="1" customWidth="1"/>
    <col min="21" max="21" width="7.42578125" bestFit="1" customWidth="1"/>
    <col min="22" max="22" width="9.28515625" customWidth="1"/>
    <col min="23" max="23" width="9.140625" customWidth="1"/>
    <col min="24" max="24" width="12.28515625" bestFit="1" customWidth="1"/>
    <col min="25" max="25" width="12.7109375" customWidth="1"/>
    <col min="26" max="26" width="9.42578125" customWidth="1"/>
    <col min="27" max="27" width="12.28515625" customWidth="1"/>
    <col min="28" max="28" width="12.7109375" customWidth="1"/>
    <col min="29" max="29" width="11" customWidth="1"/>
    <col min="30" max="30" width="12.85546875" customWidth="1"/>
    <col min="31" max="31" width="8.85546875" customWidth="1"/>
    <col min="32" max="32" width="11.5703125" bestFit="1" customWidth="1"/>
    <col min="33" max="33" width="12.85546875" bestFit="1" customWidth="1"/>
    <col min="34" max="34" width="12.140625" bestFit="1" customWidth="1"/>
  </cols>
  <sheetData>
    <row r="1" spans="1:25" ht="5.2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25" ht="15" customHeight="1">
      <c r="A2" s="15"/>
      <c r="B2" s="26"/>
      <c r="C2" s="26"/>
      <c r="D2" s="26"/>
      <c r="E2" s="231" t="s">
        <v>666</v>
      </c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</row>
    <row r="3" spans="1:25" ht="15" customHeight="1">
      <c r="A3" s="15"/>
      <c r="B3" s="26"/>
      <c r="C3" s="26"/>
      <c r="D3" s="26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</row>
    <row r="4" spans="1:25" ht="15" customHeight="1">
      <c r="A4" s="15"/>
      <c r="B4" s="26"/>
      <c r="C4" s="26"/>
      <c r="D4" s="26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</row>
    <row r="5" spans="1:25" ht="15" customHeight="1">
      <c r="A5" s="15"/>
      <c r="B5" s="26"/>
      <c r="C5" s="26"/>
      <c r="D5" s="26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  <c r="Y5" s="231"/>
    </row>
    <row r="6" spans="1:25" ht="15" customHeight="1">
      <c r="A6" s="15"/>
      <c r="B6" s="26"/>
      <c r="C6" s="26"/>
      <c r="D6" s="26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  <c r="Y6" s="231"/>
    </row>
    <row r="7" spans="1:25" ht="15" customHeight="1">
      <c r="A7" s="15"/>
      <c r="B7" s="27"/>
      <c r="C7" s="27"/>
      <c r="D7" s="27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1"/>
      <c r="V7" s="231"/>
      <c r="W7" s="231"/>
      <c r="X7" s="231"/>
      <c r="Y7" s="231"/>
    </row>
    <row r="8" spans="1:25" ht="15" customHeight="1">
      <c r="A8" s="15"/>
      <c r="B8" s="27"/>
      <c r="C8" s="27"/>
      <c r="D8" s="27"/>
      <c r="E8" s="231"/>
      <c r="F8" s="231"/>
      <c r="G8" s="231"/>
      <c r="H8" s="231"/>
      <c r="I8" s="231"/>
      <c r="J8" s="231"/>
      <c r="K8" s="231"/>
      <c r="L8" s="231"/>
      <c r="M8" s="231"/>
      <c r="N8" s="231"/>
      <c r="O8" s="231"/>
      <c r="P8" s="231"/>
      <c r="Q8" s="231"/>
      <c r="R8" s="231"/>
      <c r="S8" s="231"/>
      <c r="T8" s="231"/>
      <c r="U8" s="231"/>
      <c r="V8" s="231"/>
      <c r="W8" s="231"/>
      <c r="X8" s="231"/>
      <c r="Y8" s="231"/>
    </row>
    <row r="9" spans="1:25">
      <c r="B9" s="17" t="s">
        <v>721</v>
      </c>
      <c r="C9" s="16"/>
      <c r="D9" s="16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1" spans="1:25">
      <c r="B11" s="81" t="s">
        <v>1</v>
      </c>
      <c r="C11" s="5" t="s">
        <v>722</v>
      </c>
      <c r="F11" s="81" t="s">
        <v>1</v>
      </c>
      <c r="G11" s="5" t="s">
        <v>722</v>
      </c>
    </row>
    <row r="13" spans="1:25">
      <c r="B13" s="94" t="s">
        <v>723</v>
      </c>
      <c r="C13" s="83" t="s">
        <v>675</v>
      </c>
      <c r="D13" s="84"/>
      <c r="E13" s="84"/>
      <c r="F13" s="81" t="s">
        <v>724</v>
      </c>
      <c r="G13" s="82" t="s">
        <v>675</v>
      </c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</row>
    <row r="14" spans="1:25">
      <c r="B14" s="12" t="s">
        <v>64</v>
      </c>
      <c r="C14" s="18">
        <v>75</v>
      </c>
      <c r="F14" s="12" t="s">
        <v>176</v>
      </c>
      <c r="G14" s="18">
        <v>896</v>
      </c>
    </row>
    <row r="15" spans="1:25">
      <c r="B15" s="12" t="s">
        <v>55</v>
      </c>
      <c r="C15" s="18">
        <v>277</v>
      </c>
      <c r="F15" s="12" t="s">
        <v>49</v>
      </c>
      <c r="G15" s="18">
        <v>402</v>
      </c>
    </row>
    <row r="16" spans="1:25">
      <c r="B16" s="12" t="s">
        <v>145</v>
      </c>
      <c r="C16" s="18">
        <v>19</v>
      </c>
      <c r="F16" s="12" t="s">
        <v>67</v>
      </c>
      <c r="G16" s="18">
        <v>1097</v>
      </c>
    </row>
    <row r="17" spans="2:14">
      <c r="B17" s="12" t="s">
        <v>615</v>
      </c>
      <c r="C17" s="18">
        <v>9</v>
      </c>
      <c r="F17" s="12" t="s">
        <v>725</v>
      </c>
      <c r="G17" s="18">
        <v>246</v>
      </c>
    </row>
    <row r="18" spans="2:14">
      <c r="B18" s="12" t="s">
        <v>610</v>
      </c>
      <c r="C18" s="18">
        <v>274</v>
      </c>
      <c r="F18" s="12" t="s">
        <v>36</v>
      </c>
      <c r="G18" s="18">
        <v>449</v>
      </c>
    </row>
    <row r="19" spans="2:14">
      <c r="B19" s="12" t="s">
        <v>132</v>
      </c>
      <c r="C19" s="18">
        <v>128</v>
      </c>
      <c r="F19" s="12" t="s">
        <v>106</v>
      </c>
      <c r="G19" s="18">
        <v>299</v>
      </c>
    </row>
    <row r="20" spans="2:14">
      <c r="B20" s="12" t="s">
        <v>73</v>
      </c>
      <c r="C20" s="18">
        <v>258</v>
      </c>
      <c r="F20" s="12" t="s">
        <v>726</v>
      </c>
      <c r="G20" s="18">
        <v>38</v>
      </c>
    </row>
    <row r="21" spans="2:14">
      <c r="B21" s="12" t="s">
        <v>33</v>
      </c>
      <c r="C21" s="18">
        <v>1964</v>
      </c>
      <c r="F21" s="12" t="s">
        <v>727</v>
      </c>
      <c r="G21" s="18">
        <v>3427</v>
      </c>
    </row>
    <row r="22" spans="2:14">
      <c r="B22" s="12" t="s">
        <v>205</v>
      </c>
      <c r="C22" s="18">
        <v>2</v>
      </c>
    </row>
    <row r="23" spans="2:14">
      <c r="B23" s="12" t="s">
        <v>195</v>
      </c>
      <c r="C23" s="18">
        <v>100</v>
      </c>
    </row>
    <row r="24" spans="2:14">
      <c r="B24" s="12" t="s">
        <v>728</v>
      </c>
      <c r="C24" s="18">
        <v>321</v>
      </c>
    </row>
    <row r="25" spans="2:14">
      <c r="B25" s="12" t="s">
        <v>727</v>
      </c>
      <c r="C25" s="18">
        <v>3427</v>
      </c>
    </row>
    <row r="30" spans="2:14">
      <c r="B30" s="81" t="s">
        <v>1</v>
      </c>
      <c r="C30" s="5" t="s">
        <v>722</v>
      </c>
    </row>
    <row r="32" spans="2:14">
      <c r="B32" s="5"/>
      <c r="C32" s="81" t="s">
        <v>723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2:14">
      <c r="B33" s="5"/>
      <c r="C33" s="85" t="s">
        <v>64</v>
      </c>
      <c r="D33" s="5" t="s">
        <v>205</v>
      </c>
      <c r="E33" s="85" t="s">
        <v>195</v>
      </c>
      <c r="F33" s="85" t="s">
        <v>55</v>
      </c>
      <c r="G33" s="5" t="s">
        <v>145</v>
      </c>
      <c r="H33" s="5" t="s">
        <v>615</v>
      </c>
      <c r="I33" s="5" t="s">
        <v>610</v>
      </c>
      <c r="J33" s="5" t="s">
        <v>728</v>
      </c>
      <c r="K33" s="85" t="s">
        <v>132</v>
      </c>
      <c r="L33" s="85" t="s">
        <v>73</v>
      </c>
      <c r="M33" s="85" t="s">
        <v>33</v>
      </c>
      <c r="N33" s="85" t="s">
        <v>727</v>
      </c>
    </row>
    <row r="34" spans="2:14">
      <c r="B34" s="5" t="s">
        <v>675</v>
      </c>
      <c r="C34" s="86">
        <v>75</v>
      </c>
      <c r="D34" s="86">
        <v>2</v>
      </c>
      <c r="E34" s="86">
        <v>100</v>
      </c>
      <c r="F34" s="86">
        <v>277</v>
      </c>
      <c r="G34" s="86">
        <v>19</v>
      </c>
      <c r="H34" s="86">
        <v>9</v>
      </c>
      <c r="I34" s="86">
        <v>274</v>
      </c>
      <c r="J34" s="86">
        <v>321</v>
      </c>
      <c r="K34" s="86">
        <v>128</v>
      </c>
      <c r="L34" s="86">
        <v>258</v>
      </c>
      <c r="M34" s="86">
        <v>1964</v>
      </c>
      <c r="N34" s="86">
        <v>3427</v>
      </c>
    </row>
    <row r="42" spans="2:14">
      <c r="E42" s="81" t="s">
        <v>1</v>
      </c>
      <c r="F42" s="5" t="s">
        <v>722</v>
      </c>
    </row>
    <row r="43" spans="2:14" ht="18">
      <c r="B43" s="248" t="s">
        <v>729</v>
      </c>
      <c r="C43" s="248"/>
      <c r="E43" s="81" t="s">
        <v>2</v>
      </c>
      <c r="F43" s="5" t="s">
        <v>67</v>
      </c>
    </row>
    <row r="44" spans="2:14">
      <c r="B44" s="81" t="s">
        <v>1</v>
      </c>
      <c r="C44" s="5" t="s">
        <v>722</v>
      </c>
    </row>
    <row r="45" spans="2:14">
      <c r="B45" s="81" t="s">
        <v>2</v>
      </c>
      <c r="C45" s="5" t="s">
        <v>67</v>
      </c>
      <c r="E45" s="81" t="s">
        <v>3</v>
      </c>
      <c r="F45" s="5" t="s">
        <v>675</v>
      </c>
    </row>
    <row r="46" spans="2:14">
      <c r="E46" s="12" t="s">
        <v>86</v>
      </c>
      <c r="F46" s="87">
        <v>17</v>
      </c>
      <c r="G46" t="e">
        <f>GETPIVOTDATA("TOTAL PERSONAS INTERVENIDAS",$E$45,"PÚBLICOS","Estudiantes primaria")+GETPIVOTDATA("TOTAL PERSONAS INTERVENIDAS",$E$45,"PÚBLICOS","Estudiantes preescolar")</f>
        <v>#REF!</v>
      </c>
    </row>
    <row r="47" spans="2:14">
      <c r="B47" s="81" t="s">
        <v>730</v>
      </c>
      <c r="C47" s="5" t="s">
        <v>675</v>
      </c>
      <c r="E47" s="88" t="s">
        <v>226</v>
      </c>
      <c r="F47" s="89">
        <v>598</v>
      </c>
    </row>
    <row r="48" spans="2:14">
      <c r="B48" s="12" t="s">
        <v>731</v>
      </c>
      <c r="C48" s="18">
        <v>217</v>
      </c>
      <c r="E48" s="90" t="s">
        <v>254</v>
      </c>
      <c r="F48" s="91">
        <v>257</v>
      </c>
    </row>
    <row r="49" spans="2:7">
      <c r="B49" s="12" t="s">
        <v>40</v>
      </c>
      <c r="C49" s="18">
        <v>16</v>
      </c>
      <c r="E49" s="12" t="s">
        <v>101</v>
      </c>
      <c r="F49" s="18">
        <v>84</v>
      </c>
    </row>
    <row r="50" spans="2:7">
      <c r="B50" s="12" t="s">
        <v>75</v>
      </c>
      <c r="C50" s="18">
        <v>3</v>
      </c>
      <c r="E50" s="12" t="s">
        <v>68</v>
      </c>
      <c r="F50" s="87">
        <v>65</v>
      </c>
    </row>
    <row r="51" spans="2:7">
      <c r="B51" s="12" t="s">
        <v>98</v>
      </c>
      <c r="C51" s="18">
        <v>1</v>
      </c>
      <c r="E51" s="12" t="s">
        <v>680</v>
      </c>
      <c r="F51" s="18">
        <v>16</v>
      </c>
    </row>
    <row r="52" spans="2:7">
      <c r="B52" s="12" t="s">
        <v>84</v>
      </c>
      <c r="C52" s="18">
        <v>317</v>
      </c>
      <c r="E52" s="12" t="s">
        <v>679</v>
      </c>
      <c r="F52" s="18">
        <v>60</v>
      </c>
      <c r="G52" s="92"/>
    </row>
    <row r="53" spans="2:7">
      <c r="B53" s="12" t="s">
        <v>161</v>
      </c>
      <c r="C53" s="18">
        <v>1</v>
      </c>
      <c r="E53" s="12" t="s">
        <v>727</v>
      </c>
      <c r="F53" s="18">
        <v>1097</v>
      </c>
    </row>
    <row r="54" spans="2:7">
      <c r="B54" s="12" t="s">
        <v>267</v>
      </c>
      <c r="C54" s="18">
        <v>84</v>
      </c>
    </row>
    <row r="55" spans="2:7">
      <c r="B55" s="12" t="s">
        <v>130</v>
      </c>
      <c r="C55" s="18">
        <v>13</v>
      </c>
    </row>
    <row r="56" spans="2:7">
      <c r="B56" s="12" t="s">
        <v>348</v>
      </c>
      <c r="C56" s="18">
        <v>274</v>
      </c>
    </row>
    <row r="57" spans="2:7">
      <c r="B57" s="12" t="s">
        <v>152</v>
      </c>
      <c r="C57" s="18">
        <v>76</v>
      </c>
      <c r="G57" s="92"/>
    </row>
    <row r="58" spans="2:7">
      <c r="B58" s="12" t="s">
        <v>732</v>
      </c>
      <c r="C58" s="18">
        <v>60</v>
      </c>
    </row>
    <row r="59" spans="2:7">
      <c r="B59" s="12" t="s">
        <v>733</v>
      </c>
      <c r="C59" s="18">
        <v>22</v>
      </c>
    </row>
    <row r="60" spans="2:7">
      <c r="B60" s="12" t="s">
        <v>734</v>
      </c>
      <c r="C60" s="18">
        <v>2</v>
      </c>
    </row>
    <row r="61" spans="2:7">
      <c r="B61" s="12" t="s">
        <v>735</v>
      </c>
      <c r="C61" s="18">
        <v>2</v>
      </c>
    </row>
    <row r="62" spans="2:7">
      <c r="B62" s="12" t="s">
        <v>736</v>
      </c>
      <c r="C62" s="18">
        <v>9</v>
      </c>
    </row>
    <row r="63" spans="2:7">
      <c r="B63" s="12" t="s">
        <v>727</v>
      </c>
      <c r="C63" s="18">
        <v>1097</v>
      </c>
    </row>
    <row r="78" spans="2:6" ht="18">
      <c r="B78" s="248" t="s">
        <v>737</v>
      </c>
      <c r="C78" s="248"/>
      <c r="E78" s="248" t="s">
        <v>738</v>
      </c>
      <c r="F78" s="248"/>
    </row>
    <row r="79" spans="2:6">
      <c r="B79" s="81" t="s">
        <v>1</v>
      </c>
      <c r="C79" s="5" t="s">
        <v>722</v>
      </c>
      <c r="E79" s="81" t="s">
        <v>1</v>
      </c>
      <c r="F79" s="5" t="s">
        <v>722</v>
      </c>
    </row>
    <row r="80" spans="2:6">
      <c r="B80" s="81" t="s">
        <v>2</v>
      </c>
      <c r="C80" s="5" t="s">
        <v>49</v>
      </c>
      <c r="E80" s="81" t="s">
        <v>2</v>
      </c>
      <c r="F80" s="5" t="s">
        <v>49</v>
      </c>
    </row>
    <row r="82" spans="2:7">
      <c r="B82" s="81" t="s">
        <v>739</v>
      </c>
      <c r="C82" s="5" t="s">
        <v>675</v>
      </c>
      <c r="E82" s="81" t="s">
        <v>739</v>
      </c>
      <c r="F82" s="5" t="s">
        <v>675</v>
      </c>
    </row>
    <row r="83" spans="2:7">
      <c r="B83" s="12" t="s">
        <v>488</v>
      </c>
      <c r="C83" s="18">
        <v>2</v>
      </c>
      <c r="E83" s="12" t="s">
        <v>619</v>
      </c>
      <c r="F83" s="18">
        <v>17</v>
      </c>
    </row>
    <row r="84" spans="2:7">
      <c r="B84" s="12" t="s">
        <v>740</v>
      </c>
      <c r="C84" s="18">
        <v>5</v>
      </c>
      <c r="E84" s="12" t="s">
        <v>148</v>
      </c>
      <c r="F84" s="18">
        <v>27</v>
      </c>
    </row>
    <row r="85" spans="2:7">
      <c r="B85" s="12" t="s">
        <v>40</v>
      </c>
      <c r="C85" s="18">
        <v>137</v>
      </c>
      <c r="E85" s="12" t="s">
        <v>50</v>
      </c>
      <c r="F85" s="18">
        <v>166</v>
      </c>
    </row>
    <row r="86" spans="2:7">
      <c r="B86" s="12" t="s">
        <v>741</v>
      </c>
      <c r="C86" s="18">
        <v>3</v>
      </c>
      <c r="E86" s="12" t="s">
        <v>305</v>
      </c>
      <c r="F86" s="18">
        <v>90</v>
      </c>
    </row>
    <row r="87" spans="2:7">
      <c r="B87" s="12" t="s">
        <v>742</v>
      </c>
      <c r="C87" s="18">
        <v>7</v>
      </c>
      <c r="E87" s="12" t="s">
        <v>89</v>
      </c>
      <c r="F87" s="18">
        <v>75</v>
      </c>
    </row>
    <row r="88" spans="2:7">
      <c r="B88" s="12" t="s">
        <v>743</v>
      </c>
      <c r="C88" s="18">
        <v>4</v>
      </c>
      <c r="E88" s="12" t="s">
        <v>583</v>
      </c>
      <c r="F88" s="18">
        <v>22</v>
      </c>
    </row>
    <row r="89" spans="2:7">
      <c r="B89" s="12" t="s">
        <v>744</v>
      </c>
      <c r="C89" s="18">
        <v>124</v>
      </c>
      <c r="E89" s="12" t="s">
        <v>676</v>
      </c>
      <c r="F89" s="18">
        <v>5</v>
      </c>
    </row>
    <row r="90" spans="2:7">
      <c r="B90" s="12" t="s">
        <v>745</v>
      </c>
      <c r="C90" s="18">
        <v>54</v>
      </c>
      <c r="E90" s="12" t="s">
        <v>727</v>
      </c>
      <c r="F90" s="18">
        <v>402</v>
      </c>
      <c r="G90">
        <f>GETPIVOTDATA("TOTAL SEXO",$E$82)-19</f>
        <v>383</v>
      </c>
    </row>
    <row r="91" spans="2:7">
      <c r="B91" s="12" t="s">
        <v>746</v>
      </c>
      <c r="C91" s="18">
        <v>36</v>
      </c>
    </row>
    <row r="92" spans="2:7">
      <c r="B92" s="12" t="s">
        <v>747</v>
      </c>
      <c r="C92" s="18">
        <v>22</v>
      </c>
    </row>
    <row r="93" spans="2:7">
      <c r="B93" s="12" t="s">
        <v>748</v>
      </c>
      <c r="C93" s="18">
        <v>2</v>
      </c>
    </row>
    <row r="94" spans="2:7">
      <c r="B94" s="12" t="s">
        <v>749</v>
      </c>
      <c r="C94" s="18">
        <v>2</v>
      </c>
    </row>
    <row r="95" spans="2:7">
      <c r="B95" s="12" t="s">
        <v>750</v>
      </c>
      <c r="C95" s="18">
        <v>4</v>
      </c>
    </row>
    <row r="96" spans="2:7">
      <c r="B96" s="12" t="s">
        <v>727</v>
      </c>
      <c r="C96" s="18">
        <v>402</v>
      </c>
    </row>
    <row r="126" spans="2:6" ht="18">
      <c r="B126" s="93" t="s">
        <v>751</v>
      </c>
      <c r="C126" s="93"/>
    </row>
    <row r="128" spans="2:6">
      <c r="B128" s="81" t="s">
        <v>1</v>
      </c>
      <c r="C128" s="5" t="s">
        <v>722</v>
      </c>
      <c r="E128" s="81" t="s">
        <v>1</v>
      </c>
      <c r="F128" s="5" t="s">
        <v>722</v>
      </c>
    </row>
    <row r="129" spans="2:8">
      <c r="B129" s="81" t="s">
        <v>2</v>
      </c>
      <c r="C129" s="5" t="s">
        <v>36</v>
      </c>
      <c r="E129" s="81" t="s">
        <v>2</v>
      </c>
      <c r="F129" s="5" t="s">
        <v>36</v>
      </c>
    </row>
    <row r="131" spans="2:8">
      <c r="B131" s="81" t="s">
        <v>752</v>
      </c>
      <c r="C131" s="5" t="s">
        <v>675</v>
      </c>
      <c r="E131" s="81" t="s">
        <v>752</v>
      </c>
      <c r="F131" s="5" t="s">
        <v>675</v>
      </c>
    </row>
    <row r="132" spans="2:8">
      <c r="B132" s="90" t="s">
        <v>61</v>
      </c>
      <c r="C132" s="91">
        <v>61</v>
      </c>
      <c r="E132" s="12" t="s">
        <v>61</v>
      </c>
      <c r="F132" s="18">
        <v>61</v>
      </c>
    </row>
    <row r="133" spans="2:8">
      <c r="B133" s="12" t="s">
        <v>753</v>
      </c>
      <c r="C133" s="18">
        <v>250</v>
      </c>
      <c r="E133" s="90" t="s">
        <v>753</v>
      </c>
      <c r="F133" s="91">
        <v>250</v>
      </c>
      <c r="G133" t="e">
        <f>GETPIVOTDATA("TOTAL PERSONAS INTERVENIDAS",$E$131,"TIPO DE INTERVENCIÓN ","Campaña en vía")+GETPIVOTDATA("TOTAL PERSONAS INTERVENIDAS",$E$131,"TIPO DE INTERVENCIÓN ","Formación en educación y seguridad vial")+GETPIVOTDATA("TOTAL PERSONAS INTERVENIDAS",$E$131,"TIPO DE INTERVENCIÓN ","Reunión de planeación para actividades")+GETPIVOTDATA("TOTAL PERSONAS INTERVENIDAS",$E$131,"TIPO DE INTERVENCIÓN ","Sensibilización en movilidad sostenible y segura")+GETPIVOTDATA("TOTAL PERSONAS INTERVENIDAS",$E$131,"TIPO DE INTERVENCIÓN ","Campaña Por La Movilidad Yo Sumo (itinerantes, sketch y comparsa)")+GETPIVOTDATA("TOTAL PERSONAS INTERVENIDAS",$E$131,"TIPO DE INTERVENCIÓN ","Conversatorio en Movilidad Segura")+GETPIVOTDATA("TOTAL PERSONAS INTERVENIDAS",$E$131,"TIPO DE INTERVENCIÓN ","Sensibilizaciones en educación vial")+GETPIVOTDATA("TOTAL PERSONAS INTERVENIDAS",$E$131,"TIPO DE INTERVENCIÓN ","Pista Itinerante de movilidad segura")+GETPIVOTDATA("TOTAL PERSONAS INTERVENIDAS",$E$131,"TIPO DE INTERVENCIÓN ","Evento de ciudad con motociclistas que practican stunt")+GETPIVOTDATA("TOTAL PERSONAS INTERVENIDAS",$E$131,"TIPO DE INTERVENCIÓN ","Participaciòn en eventos de ciudad")+GETPIVOTDATA("TOTAL PERSONAS INTERVENIDAS",$E$131,"TIPO DE INTERVENCIÓN ","Actividad experiencial en educaciòn vial")+GETPIVOTDATA("TOTAL PERSONAS INTERVENIDAS",$E$131,"TIPO DE INTERVENCIÓN ","Reflexionar sobre las actuaciones en via publica")+GETPIVOTDATA("TOTAL PERSONAS INTERVENIDAS",$E$131,"TIPO DE INTERVENCIÓN ","Comité de Cultura")+GETPIVOTDATA("TOTAL PERSONAS INTERVENIDAS",$E$131,"TIPO DE INTERVENCIÓN ","Campaña en via")</f>
        <v>#REF!</v>
      </c>
      <c r="H133" t="e">
        <f>G133-155</f>
        <v>#REF!</v>
      </c>
    </row>
    <row r="134" spans="2:8">
      <c r="B134" s="12" t="s">
        <v>38</v>
      </c>
      <c r="C134" s="18">
        <v>11</v>
      </c>
      <c r="E134" s="90" t="s">
        <v>38</v>
      </c>
      <c r="F134" s="91">
        <v>11</v>
      </c>
    </row>
    <row r="135" spans="2:8">
      <c r="B135" s="12" t="s">
        <v>69</v>
      </c>
      <c r="C135" s="18">
        <v>9</v>
      </c>
      <c r="E135" s="90" t="s">
        <v>69</v>
      </c>
      <c r="F135" s="91">
        <v>9</v>
      </c>
    </row>
    <row r="136" spans="2:8">
      <c r="B136" s="12" t="s">
        <v>128</v>
      </c>
      <c r="C136" s="18">
        <v>4</v>
      </c>
      <c r="E136" s="90" t="s">
        <v>128</v>
      </c>
      <c r="F136" s="91">
        <v>4</v>
      </c>
    </row>
    <row r="137" spans="2:8">
      <c r="B137" s="12" t="s">
        <v>51</v>
      </c>
      <c r="C137" s="18">
        <v>0</v>
      </c>
      <c r="E137" s="90" t="s">
        <v>51</v>
      </c>
      <c r="F137" s="91">
        <v>0</v>
      </c>
    </row>
    <row r="138" spans="2:8">
      <c r="B138" s="12" t="s">
        <v>754</v>
      </c>
      <c r="C138" s="18">
        <v>100</v>
      </c>
      <c r="E138" s="90" t="s">
        <v>754</v>
      </c>
      <c r="F138" s="91">
        <v>100</v>
      </c>
    </row>
    <row r="139" spans="2:8">
      <c r="B139" s="12" t="s">
        <v>755</v>
      </c>
      <c r="C139" s="18">
        <v>14</v>
      </c>
      <c r="E139" s="90" t="s">
        <v>755</v>
      </c>
      <c r="F139" s="91">
        <v>14</v>
      </c>
    </row>
    <row r="140" spans="2:8">
      <c r="B140" s="12" t="s">
        <v>727</v>
      </c>
      <c r="C140" s="18">
        <v>449</v>
      </c>
      <c r="E140" s="12" t="s">
        <v>727</v>
      </c>
      <c r="F140" s="18">
        <v>449</v>
      </c>
    </row>
    <row r="182" spans="2:3">
      <c r="B182" s="81" t="s">
        <v>1</v>
      </c>
      <c r="C182" s="5" t="s">
        <v>722</v>
      </c>
    </row>
    <row r="184" spans="2:3">
      <c r="B184" s="81" t="s">
        <v>756</v>
      </c>
      <c r="C184" s="5" t="s">
        <v>675</v>
      </c>
    </row>
    <row r="185" spans="2:3">
      <c r="B185" s="12" t="s">
        <v>757</v>
      </c>
      <c r="C185" s="18">
        <v>250</v>
      </c>
    </row>
    <row r="186" spans="2:3">
      <c r="B186" s="12" t="s">
        <v>61</v>
      </c>
      <c r="C186" s="18">
        <v>61</v>
      </c>
    </row>
    <row r="187" spans="2:3">
      <c r="B187" s="12" t="s">
        <v>227</v>
      </c>
      <c r="C187" s="18">
        <v>4</v>
      </c>
    </row>
    <row r="188" spans="2:3">
      <c r="B188" s="12" t="s">
        <v>69</v>
      </c>
      <c r="C188" s="18">
        <v>83</v>
      </c>
    </row>
    <row r="189" spans="2:3">
      <c r="B189" s="12" t="s">
        <v>128</v>
      </c>
      <c r="C189" s="18">
        <v>326</v>
      </c>
    </row>
    <row r="190" spans="2:3">
      <c r="B190" s="12" t="s">
        <v>758</v>
      </c>
      <c r="C190" s="18">
        <v>12</v>
      </c>
    </row>
    <row r="191" spans="2:3">
      <c r="B191" s="12" t="s">
        <v>94</v>
      </c>
      <c r="C191" s="18">
        <v>27</v>
      </c>
    </row>
    <row r="192" spans="2:3">
      <c r="B192" s="12" t="s">
        <v>491</v>
      </c>
      <c r="C192" s="18">
        <v>35</v>
      </c>
    </row>
    <row r="193" spans="2:3">
      <c r="B193" s="12" t="s">
        <v>274</v>
      </c>
      <c r="C193" s="18">
        <v>1225</v>
      </c>
    </row>
    <row r="194" spans="2:3">
      <c r="B194" s="12" t="s">
        <v>38</v>
      </c>
      <c r="C194" s="18">
        <v>25</v>
      </c>
    </row>
    <row r="195" spans="2:3">
      <c r="B195" s="12" t="s">
        <v>51</v>
      </c>
      <c r="C195" s="18">
        <v>452</v>
      </c>
    </row>
    <row r="196" spans="2:3">
      <c r="B196" s="12" t="s">
        <v>753</v>
      </c>
      <c r="C196" s="18">
        <v>290</v>
      </c>
    </row>
    <row r="197" spans="2:3">
      <c r="B197" s="12" t="s">
        <v>754</v>
      </c>
      <c r="C197" s="18">
        <v>300</v>
      </c>
    </row>
    <row r="198" spans="2:3">
      <c r="B198" s="12" t="s">
        <v>759</v>
      </c>
      <c r="C198" s="18">
        <v>60</v>
      </c>
    </row>
    <row r="199" spans="2:3">
      <c r="B199" s="12" t="s">
        <v>760</v>
      </c>
      <c r="C199" s="18">
        <v>246</v>
      </c>
    </row>
    <row r="200" spans="2:3">
      <c r="B200" s="12" t="s">
        <v>248</v>
      </c>
      <c r="C200" s="18">
        <v>17</v>
      </c>
    </row>
    <row r="201" spans="2:3">
      <c r="B201" s="12" t="s">
        <v>755</v>
      </c>
      <c r="C201" s="18">
        <v>14</v>
      </c>
    </row>
    <row r="202" spans="2:3">
      <c r="B202" s="12" t="s">
        <v>727</v>
      </c>
      <c r="C202" s="18">
        <v>3427</v>
      </c>
    </row>
    <row r="251" spans="2:3">
      <c r="B251" s="81" t="s">
        <v>1</v>
      </c>
      <c r="C251" s="5" t="s">
        <v>722</v>
      </c>
    </row>
    <row r="253" spans="2:3">
      <c r="B253" s="81" t="s">
        <v>761</v>
      </c>
      <c r="C253" s="83" t="s">
        <v>675</v>
      </c>
    </row>
    <row r="254" spans="2:3">
      <c r="B254" s="12" t="s">
        <v>762</v>
      </c>
      <c r="C254" s="18">
        <v>258</v>
      </c>
    </row>
    <row r="255" spans="2:3">
      <c r="B255" s="12" t="s">
        <v>568</v>
      </c>
      <c r="C255" s="18">
        <v>17</v>
      </c>
    </row>
    <row r="256" spans="2:3">
      <c r="B256" s="12" t="s">
        <v>174</v>
      </c>
      <c r="C256" s="18">
        <v>317</v>
      </c>
    </row>
    <row r="257" spans="2:3">
      <c r="B257" s="12" t="s">
        <v>270</v>
      </c>
      <c r="C257" s="18">
        <v>84</v>
      </c>
    </row>
    <row r="258" spans="2:3">
      <c r="B258" s="12" t="s">
        <v>34</v>
      </c>
      <c r="C258" s="18">
        <v>1563</v>
      </c>
    </row>
    <row r="259" spans="2:3">
      <c r="B259" s="12" t="s">
        <v>763</v>
      </c>
      <c r="C259" s="18">
        <v>89</v>
      </c>
    </row>
    <row r="260" spans="2:3">
      <c r="B260" s="12" t="s">
        <v>597</v>
      </c>
      <c r="C260" s="18">
        <v>14</v>
      </c>
    </row>
    <row r="261" spans="2:3">
      <c r="B261" s="12" t="s">
        <v>764</v>
      </c>
      <c r="C261" s="18">
        <v>274</v>
      </c>
    </row>
    <row r="262" spans="2:3">
      <c r="B262" s="12" t="s">
        <v>765</v>
      </c>
      <c r="C262" s="18">
        <v>1</v>
      </c>
    </row>
    <row r="263" spans="2:3">
      <c r="B263" s="12" t="s">
        <v>534</v>
      </c>
      <c r="C263" s="18">
        <v>35</v>
      </c>
    </row>
    <row r="264" spans="2:3">
      <c r="B264" s="12" t="s">
        <v>191</v>
      </c>
      <c r="C264" s="18">
        <v>217</v>
      </c>
    </row>
    <row r="265" spans="2:3">
      <c r="B265" s="12" t="s">
        <v>766</v>
      </c>
      <c r="C265" s="18">
        <v>321</v>
      </c>
    </row>
    <row r="266" spans="2:3">
      <c r="B266" s="12" t="s">
        <v>56</v>
      </c>
      <c r="C266" s="18">
        <v>60</v>
      </c>
    </row>
    <row r="267" spans="2:3">
      <c r="B267" s="12" t="s">
        <v>767</v>
      </c>
      <c r="C267" s="18">
        <v>20</v>
      </c>
    </row>
    <row r="268" spans="2:3">
      <c r="B268" s="12" t="s">
        <v>196</v>
      </c>
      <c r="C268" s="18">
        <v>100</v>
      </c>
    </row>
    <row r="269" spans="2:3">
      <c r="B269" s="12" t="s">
        <v>768</v>
      </c>
      <c r="C269" s="18">
        <v>41</v>
      </c>
    </row>
    <row r="270" spans="2:3">
      <c r="B270" s="12" t="s">
        <v>769</v>
      </c>
      <c r="C270" s="18">
        <v>2</v>
      </c>
    </row>
    <row r="271" spans="2:3">
      <c r="B271" s="12" t="s">
        <v>770</v>
      </c>
      <c r="C271" s="18">
        <v>2</v>
      </c>
    </row>
    <row r="272" spans="2:3">
      <c r="B272" s="12" t="s">
        <v>163</v>
      </c>
      <c r="C272" s="18">
        <v>3</v>
      </c>
    </row>
    <row r="273" spans="2:3">
      <c r="B273" s="12" t="s">
        <v>771</v>
      </c>
      <c r="C273" s="18">
        <v>9</v>
      </c>
    </row>
    <row r="274" spans="2:3">
      <c r="B274" s="12" t="s">
        <v>727</v>
      </c>
      <c r="C274" s="18">
        <v>3427</v>
      </c>
    </row>
  </sheetData>
  <mergeCells count="4">
    <mergeCell ref="B78:C78"/>
    <mergeCell ref="E78:F78"/>
    <mergeCell ref="B43:C43"/>
    <mergeCell ref="E2:Y8"/>
  </mergeCells>
  <pageMargins left="0.7" right="0.7" top="0.75" bottom="0.75" header="0.3" footer="0.3"/>
  <pageSetup paperSize="9" orientation="portrait" r:id="rId12"/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9"/>
  <sheetViews>
    <sheetView topLeftCell="E1" zoomScale="85" zoomScaleNormal="85" workbookViewId="0">
      <selection activeCell="K18" sqref="K18"/>
    </sheetView>
  </sheetViews>
  <sheetFormatPr defaultColWidth="11.42578125" defaultRowHeight="14.45"/>
  <cols>
    <col min="1" max="1" width="6.5703125" customWidth="1"/>
    <col min="2" max="2" width="50.28515625" bestFit="1" customWidth="1"/>
    <col min="3" max="3" width="52.5703125" bestFit="1" customWidth="1"/>
    <col min="4" max="4" width="50.5703125" customWidth="1"/>
    <col min="5" max="5" width="21.85546875" bestFit="1" customWidth="1"/>
    <col min="6" max="6" width="29.5703125" bestFit="1" customWidth="1"/>
    <col min="8" max="8" width="8" bestFit="1" customWidth="1"/>
    <col min="9" max="9" width="3.85546875" bestFit="1" customWidth="1"/>
    <col min="10" max="10" width="56.7109375" customWidth="1"/>
    <col min="11" max="11" width="22.28515625" customWidth="1"/>
    <col min="12" max="12" width="18.85546875" customWidth="1"/>
    <col min="13" max="13" width="25.28515625" customWidth="1"/>
  </cols>
  <sheetData>
    <row r="1" spans="1:13" ht="28.9">
      <c r="A1" s="67" t="s">
        <v>1</v>
      </c>
      <c r="B1" s="68" t="s">
        <v>772</v>
      </c>
      <c r="C1" s="69" t="s">
        <v>3</v>
      </c>
      <c r="D1" s="70" t="s">
        <v>773</v>
      </c>
      <c r="E1" s="3" t="s">
        <v>5</v>
      </c>
      <c r="F1" s="3" t="s">
        <v>774</v>
      </c>
      <c r="G1" s="9" t="s">
        <v>775</v>
      </c>
      <c r="H1" s="9" t="s">
        <v>20</v>
      </c>
      <c r="I1" s="9" t="s">
        <v>776</v>
      </c>
      <c r="J1" s="71" t="s">
        <v>777</v>
      </c>
      <c r="K1" s="71" t="s">
        <v>22</v>
      </c>
      <c r="L1" s="72" t="s">
        <v>20</v>
      </c>
      <c r="M1" s="72" t="s">
        <v>21</v>
      </c>
    </row>
    <row r="2" spans="1:13" ht="15">
      <c r="A2" s="73" t="s">
        <v>25</v>
      </c>
      <c r="B2" s="74" t="s">
        <v>176</v>
      </c>
      <c r="C2" t="s">
        <v>137</v>
      </c>
      <c r="D2" s="4" t="s">
        <v>28</v>
      </c>
      <c r="E2" s="4" t="s">
        <v>79</v>
      </c>
      <c r="F2" s="4" t="s">
        <v>778</v>
      </c>
      <c r="G2">
        <v>2022</v>
      </c>
      <c r="H2" s="5" t="s">
        <v>779</v>
      </c>
      <c r="I2" s="5">
        <v>1</v>
      </c>
      <c r="J2" s="75" t="s">
        <v>780</v>
      </c>
      <c r="K2" s="75" t="s">
        <v>781</v>
      </c>
      <c r="L2" s="76" t="s">
        <v>55</v>
      </c>
      <c r="M2" s="76" t="s">
        <v>56</v>
      </c>
    </row>
    <row r="3" spans="1:13" ht="15">
      <c r="A3" s="73" t="s">
        <v>46</v>
      </c>
      <c r="B3" s="73" t="s">
        <v>49</v>
      </c>
      <c r="C3" s="5" t="s">
        <v>619</v>
      </c>
      <c r="D3" s="4" t="s">
        <v>274</v>
      </c>
      <c r="E3" s="4" t="s">
        <v>43</v>
      </c>
      <c r="F3" s="4" t="s">
        <v>782</v>
      </c>
      <c r="G3">
        <v>2023</v>
      </c>
      <c r="H3" s="5" t="s">
        <v>64</v>
      </c>
      <c r="I3" s="5">
        <v>2</v>
      </c>
      <c r="J3" s="75" t="s">
        <v>426</v>
      </c>
      <c r="K3" s="75" t="s">
        <v>428</v>
      </c>
      <c r="L3" s="76" t="s">
        <v>33</v>
      </c>
      <c r="M3" s="76" t="s">
        <v>34</v>
      </c>
    </row>
    <row r="4" spans="1:13" ht="15">
      <c r="A4" s="73" t="s">
        <v>120</v>
      </c>
      <c r="B4" s="73" t="s">
        <v>67</v>
      </c>
      <c r="C4" s="4" t="s">
        <v>148</v>
      </c>
      <c r="D4" s="4" t="s">
        <v>783</v>
      </c>
      <c r="E4" s="4" t="s">
        <v>29</v>
      </c>
      <c r="F4" s="4" t="s">
        <v>784</v>
      </c>
      <c r="H4" s="5" t="s">
        <v>55</v>
      </c>
      <c r="I4" s="5">
        <v>3</v>
      </c>
      <c r="J4" s="75" t="s">
        <v>785</v>
      </c>
      <c r="K4" s="75" t="s">
        <v>786</v>
      </c>
      <c r="L4" s="76" t="s">
        <v>195</v>
      </c>
      <c r="M4" s="76" t="s">
        <v>196</v>
      </c>
    </row>
    <row r="5" spans="1:13" ht="15">
      <c r="A5" s="73" t="s">
        <v>682</v>
      </c>
      <c r="B5" s="73" t="s">
        <v>36</v>
      </c>
      <c r="C5" s="5" t="s">
        <v>124</v>
      </c>
      <c r="D5" s="4" t="s">
        <v>757</v>
      </c>
      <c r="E5" s="4" t="s">
        <v>240</v>
      </c>
      <c r="F5" s="4" t="s">
        <v>787</v>
      </c>
      <c r="H5" s="5" t="s">
        <v>145</v>
      </c>
      <c r="I5" s="5">
        <v>4</v>
      </c>
      <c r="J5" s="75" t="s">
        <v>788</v>
      </c>
      <c r="K5" s="75" t="s">
        <v>789</v>
      </c>
      <c r="L5" s="76" t="s">
        <v>615</v>
      </c>
      <c r="M5" s="76" t="s">
        <v>790</v>
      </c>
    </row>
    <row r="6" spans="1:13" ht="15">
      <c r="A6" s="73" t="s">
        <v>238</v>
      </c>
      <c r="B6" s="73" t="s">
        <v>106</v>
      </c>
      <c r="C6" s="4" t="s">
        <v>50</v>
      </c>
      <c r="D6" s="4" t="s">
        <v>791</v>
      </c>
      <c r="E6" s="4" t="s">
        <v>346</v>
      </c>
      <c r="F6" s="4" t="s">
        <v>792</v>
      </c>
      <c r="H6" s="5" t="s">
        <v>615</v>
      </c>
      <c r="I6" s="5">
        <v>5</v>
      </c>
      <c r="J6" s="196" t="s">
        <v>250</v>
      </c>
      <c r="K6" s="75" t="s">
        <v>793</v>
      </c>
      <c r="L6" s="76" t="s">
        <v>610</v>
      </c>
      <c r="M6" s="76" t="s">
        <v>611</v>
      </c>
    </row>
    <row r="7" spans="1:13" ht="15">
      <c r="A7" s="73" t="s">
        <v>295</v>
      </c>
      <c r="B7" s="73" t="s">
        <v>490</v>
      </c>
      <c r="C7" s="5" t="s">
        <v>365</v>
      </c>
      <c r="D7" s="4" t="s">
        <v>758</v>
      </c>
      <c r="E7" s="4"/>
      <c r="F7" s="4" t="s">
        <v>794</v>
      </c>
      <c r="H7" s="5" t="s">
        <v>610</v>
      </c>
      <c r="I7" s="5">
        <v>6</v>
      </c>
      <c r="J7" s="75" t="s">
        <v>795</v>
      </c>
      <c r="K7" s="75" t="s">
        <v>796</v>
      </c>
      <c r="L7" s="76" t="s">
        <v>140</v>
      </c>
      <c r="M7" s="76" t="s">
        <v>797</v>
      </c>
    </row>
    <row r="8" spans="1:13" ht="15">
      <c r="A8" s="73" t="s">
        <v>342</v>
      </c>
      <c r="B8" s="73" t="s">
        <v>582</v>
      </c>
      <c r="C8" s="5" t="s">
        <v>676</v>
      </c>
      <c r="D8" s="4" t="s">
        <v>798</v>
      </c>
      <c r="E8" s="4"/>
      <c r="F8" s="4" t="s">
        <v>799</v>
      </c>
      <c r="H8" s="5" t="s">
        <v>156</v>
      </c>
      <c r="I8" s="5">
        <v>7</v>
      </c>
      <c r="J8" s="196" t="s">
        <v>139</v>
      </c>
      <c r="K8" s="75" t="s">
        <v>142</v>
      </c>
      <c r="L8" s="76" t="s">
        <v>140</v>
      </c>
      <c r="M8" s="76" t="s">
        <v>141</v>
      </c>
    </row>
    <row r="9" spans="1:13" ht="15">
      <c r="A9" s="73" t="s">
        <v>420</v>
      </c>
      <c r="B9" s="77" t="s">
        <v>726</v>
      </c>
      <c r="C9" s="6" t="s">
        <v>305</v>
      </c>
      <c r="D9" s="4" t="s">
        <v>800</v>
      </c>
      <c r="E9" s="4"/>
      <c r="F9" s="4" t="s">
        <v>801</v>
      </c>
      <c r="H9" s="5" t="s">
        <v>132</v>
      </c>
      <c r="I9" s="5">
        <v>8</v>
      </c>
      <c r="J9" s="196" t="s">
        <v>144</v>
      </c>
      <c r="K9" s="75" t="s">
        <v>147</v>
      </c>
      <c r="L9" s="76" t="s">
        <v>145</v>
      </c>
      <c r="M9" s="76" t="s">
        <v>146</v>
      </c>
    </row>
    <row r="10" spans="1:13" ht="28.9">
      <c r="A10" s="73" t="s">
        <v>495</v>
      </c>
      <c r="B10" s="77" t="s">
        <v>26</v>
      </c>
      <c r="C10" s="4" t="s">
        <v>37</v>
      </c>
      <c r="D10" s="7" t="s">
        <v>61</v>
      </c>
      <c r="E10" s="6"/>
      <c r="F10" s="6"/>
      <c r="H10" s="5" t="s">
        <v>73</v>
      </c>
      <c r="I10" s="5">
        <v>9</v>
      </c>
      <c r="J10" s="196" t="s">
        <v>118</v>
      </c>
      <c r="K10" s="75" t="s">
        <v>197</v>
      </c>
      <c r="L10" s="76" t="s">
        <v>195</v>
      </c>
      <c r="M10" s="76" t="s">
        <v>196</v>
      </c>
    </row>
    <row r="11" spans="1:13" ht="15">
      <c r="A11" s="73" t="s">
        <v>576</v>
      </c>
      <c r="B11" s="78"/>
      <c r="C11" s="4" t="s">
        <v>68</v>
      </c>
      <c r="D11" s="4" t="s">
        <v>802</v>
      </c>
      <c r="E11" s="4"/>
      <c r="F11" s="4"/>
      <c r="H11" s="5" t="s">
        <v>33</v>
      </c>
      <c r="I11" s="5">
        <v>10</v>
      </c>
      <c r="J11" s="196" t="s">
        <v>476</v>
      </c>
      <c r="K11" s="75" t="s">
        <v>325</v>
      </c>
      <c r="L11" s="76" t="s">
        <v>132</v>
      </c>
      <c r="M11" s="76" t="s">
        <v>763</v>
      </c>
    </row>
    <row r="12" spans="1:13" ht="15">
      <c r="A12" s="73" t="s">
        <v>653</v>
      </c>
      <c r="B12" s="4"/>
      <c r="C12" s="4" t="s">
        <v>86</v>
      </c>
      <c r="D12" s="4" t="s">
        <v>491</v>
      </c>
      <c r="E12" s="4"/>
      <c r="F12" s="4"/>
      <c r="H12" s="5" t="s">
        <v>205</v>
      </c>
      <c r="I12" s="5">
        <v>11</v>
      </c>
      <c r="J12" s="196" t="s">
        <v>803</v>
      </c>
      <c r="K12" s="75" t="s">
        <v>804</v>
      </c>
      <c r="L12" s="76" t="s">
        <v>132</v>
      </c>
      <c r="M12" s="76" t="s">
        <v>805</v>
      </c>
    </row>
    <row r="13" spans="1:13" ht="15">
      <c r="A13" s="78" t="s">
        <v>806</v>
      </c>
      <c r="B13" s="4"/>
      <c r="C13" s="4" t="s">
        <v>89</v>
      </c>
      <c r="D13" s="4" t="s">
        <v>94</v>
      </c>
      <c r="E13" s="4"/>
      <c r="F13" s="4"/>
      <c r="H13" s="5" t="s">
        <v>807</v>
      </c>
      <c r="I13" s="5">
        <v>12</v>
      </c>
      <c r="J13" s="196" t="s">
        <v>75</v>
      </c>
      <c r="K13" s="75" t="s">
        <v>480</v>
      </c>
      <c r="L13" s="76" t="s">
        <v>132</v>
      </c>
      <c r="M13" s="76" t="s">
        <v>163</v>
      </c>
    </row>
    <row r="14" spans="1:13" ht="15">
      <c r="A14" s="4"/>
      <c r="B14" s="4"/>
      <c r="C14" s="5" t="s">
        <v>808</v>
      </c>
      <c r="D14" s="4" t="s">
        <v>51</v>
      </c>
      <c r="E14" s="4"/>
      <c r="F14" s="4"/>
      <c r="H14" s="5" t="s">
        <v>195</v>
      </c>
      <c r="I14" s="5">
        <v>13</v>
      </c>
      <c r="J14" s="196" t="s">
        <v>267</v>
      </c>
      <c r="K14" s="75" t="s">
        <v>271</v>
      </c>
      <c r="L14" s="76" t="s">
        <v>33</v>
      </c>
      <c r="M14" s="76" t="s">
        <v>270</v>
      </c>
    </row>
    <row r="15" spans="1:13" ht="15">
      <c r="A15" s="4"/>
      <c r="B15" s="4"/>
      <c r="C15" s="4" t="s">
        <v>809</v>
      </c>
      <c r="D15" s="4" t="s">
        <v>51</v>
      </c>
      <c r="E15" s="4"/>
      <c r="F15" s="4"/>
      <c r="H15" s="5" t="s">
        <v>140</v>
      </c>
      <c r="I15" s="5">
        <v>14</v>
      </c>
      <c r="J15" s="196" t="s">
        <v>71</v>
      </c>
      <c r="K15" s="75" t="s">
        <v>117</v>
      </c>
      <c r="L15" s="76" t="s">
        <v>33</v>
      </c>
      <c r="M15" s="76" t="s">
        <v>34</v>
      </c>
    </row>
    <row r="16" spans="1:13" ht="15">
      <c r="A16" s="4"/>
      <c r="B16" s="4"/>
      <c r="C16" s="4" t="s">
        <v>810</v>
      </c>
      <c r="D16" s="4" t="s">
        <v>811</v>
      </c>
      <c r="E16" s="4"/>
      <c r="F16" s="4"/>
      <c r="H16" s="5" t="s">
        <v>812</v>
      </c>
      <c r="I16" s="5">
        <v>15</v>
      </c>
      <c r="J16" s="196" t="s">
        <v>87</v>
      </c>
      <c r="K16" s="75" t="s">
        <v>93</v>
      </c>
      <c r="L16" s="76" t="s">
        <v>73</v>
      </c>
      <c r="M16" s="76" t="s">
        <v>762</v>
      </c>
    </row>
    <row r="17" spans="1:13" ht="15">
      <c r="A17" s="4"/>
      <c r="B17" s="4"/>
      <c r="C17" s="4" t="s">
        <v>371</v>
      </c>
      <c r="D17" s="4" t="s">
        <v>813</v>
      </c>
      <c r="E17" s="4"/>
      <c r="F17" s="4"/>
      <c r="H17" s="8"/>
      <c r="I17" s="5">
        <v>16</v>
      </c>
      <c r="J17" s="196" t="s">
        <v>409</v>
      </c>
      <c r="K17" s="75" t="s">
        <v>814</v>
      </c>
      <c r="L17" s="76" t="s">
        <v>33</v>
      </c>
      <c r="M17" s="76" t="s">
        <v>174</v>
      </c>
    </row>
    <row r="18" spans="1:13" ht="15">
      <c r="A18" s="4"/>
      <c r="B18" s="4"/>
      <c r="C18" s="4" t="s">
        <v>239</v>
      </c>
      <c r="D18" s="4" t="s">
        <v>753</v>
      </c>
      <c r="E18" s="4"/>
      <c r="F18" s="4" t="s">
        <v>33</v>
      </c>
      <c r="H18" s="5"/>
      <c r="I18" s="5">
        <v>17</v>
      </c>
      <c r="J18" s="196" t="s">
        <v>344</v>
      </c>
      <c r="K18" s="75" t="s">
        <v>244</v>
      </c>
      <c r="L18" s="76" t="s">
        <v>156</v>
      </c>
      <c r="M18" s="76" t="s">
        <v>656</v>
      </c>
    </row>
    <row r="19" spans="1:13" ht="15">
      <c r="A19" s="4"/>
      <c r="B19" s="4"/>
      <c r="C19" s="4" t="s">
        <v>226</v>
      </c>
      <c r="D19" s="7" t="s">
        <v>248</v>
      </c>
      <c r="E19" s="4"/>
      <c r="F19" s="4"/>
      <c r="H19" s="5"/>
      <c r="I19" s="5">
        <v>18</v>
      </c>
      <c r="J19" s="196" t="s">
        <v>348</v>
      </c>
      <c r="K19" s="75" t="s">
        <v>815</v>
      </c>
      <c r="L19" s="76" t="s">
        <v>610</v>
      </c>
      <c r="M19" s="76" t="s">
        <v>764</v>
      </c>
    </row>
    <row r="20" spans="1:13" ht="15">
      <c r="A20" s="4"/>
      <c r="B20" s="4"/>
      <c r="C20" s="4" t="s">
        <v>254</v>
      </c>
      <c r="D20" s="4" t="s">
        <v>38</v>
      </c>
      <c r="E20" s="4"/>
      <c r="F20" s="4"/>
      <c r="H20" s="5"/>
      <c r="I20" s="5">
        <v>19</v>
      </c>
      <c r="J20" s="196" t="s">
        <v>816</v>
      </c>
      <c r="K20" s="75" t="s">
        <v>817</v>
      </c>
      <c r="L20" s="76" t="s">
        <v>156</v>
      </c>
      <c r="M20" s="76" t="s">
        <v>818</v>
      </c>
    </row>
    <row r="21" spans="1:13" ht="15">
      <c r="A21" s="4"/>
      <c r="B21" s="6"/>
      <c r="C21" s="4" t="s">
        <v>399</v>
      </c>
      <c r="D21" s="4" t="s">
        <v>38</v>
      </c>
      <c r="E21" s="4"/>
      <c r="F21" s="4"/>
      <c r="H21" s="5"/>
      <c r="I21" s="5">
        <v>20</v>
      </c>
      <c r="J21" s="196" t="s">
        <v>84</v>
      </c>
      <c r="K21" s="75" t="s">
        <v>175</v>
      </c>
      <c r="L21" s="76" t="s">
        <v>33</v>
      </c>
      <c r="M21" s="76" t="s">
        <v>174</v>
      </c>
    </row>
    <row r="22" spans="1:13" ht="15">
      <c r="A22" s="4"/>
      <c r="B22" s="4"/>
      <c r="C22" s="5" t="s">
        <v>819</v>
      </c>
      <c r="D22" s="4" t="s">
        <v>227</v>
      </c>
      <c r="E22" s="4"/>
      <c r="F22" s="4"/>
      <c r="H22" s="5"/>
      <c r="I22" s="5">
        <v>21</v>
      </c>
      <c r="J22" s="196" t="s">
        <v>154</v>
      </c>
      <c r="K22" s="75" t="s">
        <v>158</v>
      </c>
      <c r="L22" s="76" t="s">
        <v>156</v>
      </c>
      <c r="M22" s="76" t="s">
        <v>818</v>
      </c>
    </row>
    <row r="23" spans="1:13" ht="15">
      <c r="A23" s="4"/>
      <c r="B23" s="4"/>
      <c r="C23" s="4" t="s">
        <v>368</v>
      </c>
      <c r="D23" s="4" t="s">
        <v>486</v>
      </c>
      <c r="E23" s="4"/>
      <c r="F23" s="4"/>
      <c r="H23" s="5"/>
      <c r="I23" s="5">
        <v>22</v>
      </c>
      <c r="J23" s="196" t="s">
        <v>632</v>
      </c>
      <c r="K23" s="75" t="s">
        <v>167</v>
      </c>
      <c r="L23" s="76" t="s">
        <v>132</v>
      </c>
      <c r="M23" s="76" t="s">
        <v>534</v>
      </c>
    </row>
    <row r="24" spans="1:13" ht="15">
      <c r="C24" s="5" t="s">
        <v>820</v>
      </c>
      <c r="D24" s="4" t="s">
        <v>218</v>
      </c>
      <c r="I24" s="5">
        <v>23</v>
      </c>
      <c r="J24" s="196" t="s">
        <v>98</v>
      </c>
      <c r="K24" s="75" t="s">
        <v>100</v>
      </c>
      <c r="L24" s="76" t="s">
        <v>73</v>
      </c>
      <c r="M24" s="76" t="s">
        <v>762</v>
      </c>
    </row>
    <row r="25" spans="1:13" ht="15">
      <c r="C25" s="4" t="s">
        <v>27</v>
      </c>
      <c r="D25" s="11" t="s">
        <v>821</v>
      </c>
      <c r="I25" s="5">
        <v>24</v>
      </c>
      <c r="J25" s="75" t="s">
        <v>822</v>
      </c>
      <c r="K25" s="75" t="s">
        <v>823</v>
      </c>
      <c r="L25" s="76" t="s">
        <v>195</v>
      </c>
      <c r="M25" s="76" t="s">
        <v>196</v>
      </c>
    </row>
    <row r="26" spans="1:13" ht="15">
      <c r="C26" s="11" t="s">
        <v>824</v>
      </c>
      <c r="D26" s="11" t="s">
        <v>825</v>
      </c>
      <c r="I26" s="5">
        <v>25</v>
      </c>
      <c r="J26" s="75" t="s">
        <v>826</v>
      </c>
      <c r="K26" s="75" t="s">
        <v>827</v>
      </c>
      <c r="L26" s="76" t="s">
        <v>195</v>
      </c>
      <c r="M26" s="76" t="s">
        <v>196</v>
      </c>
    </row>
    <row r="27" spans="1:13" ht="15">
      <c r="C27" s="2" t="s">
        <v>828</v>
      </c>
      <c r="D27" s="11" t="s">
        <v>69</v>
      </c>
      <c r="I27" s="5">
        <v>26</v>
      </c>
      <c r="J27" s="75" t="s">
        <v>623</v>
      </c>
      <c r="K27" s="75" t="s">
        <v>626</v>
      </c>
      <c r="L27" s="76" t="s">
        <v>55</v>
      </c>
      <c r="M27" s="76" t="s">
        <v>625</v>
      </c>
    </row>
    <row r="28" spans="1:13" ht="15">
      <c r="C28" s="2" t="s">
        <v>101</v>
      </c>
      <c r="D28" s="11" t="s">
        <v>829</v>
      </c>
      <c r="I28" s="5">
        <v>27</v>
      </c>
      <c r="J28" s="75" t="s">
        <v>830</v>
      </c>
      <c r="K28" s="75" t="s">
        <v>831</v>
      </c>
      <c r="L28" s="76" t="s">
        <v>140</v>
      </c>
      <c r="M28" s="76" t="s">
        <v>141</v>
      </c>
    </row>
    <row r="29" spans="1:13" ht="15">
      <c r="C29" t="s">
        <v>832</v>
      </c>
      <c r="D29" s="11" t="s">
        <v>128</v>
      </c>
      <c r="I29" s="5">
        <v>28</v>
      </c>
      <c r="J29" s="196" t="s">
        <v>152</v>
      </c>
      <c r="K29" s="75" t="s">
        <v>278</v>
      </c>
      <c r="L29" s="76" t="s">
        <v>33</v>
      </c>
      <c r="M29" s="76" t="s">
        <v>34</v>
      </c>
    </row>
    <row r="30" spans="1:13" ht="15">
      <c r="C30" t="s">
        <v>460</v>
      </c>
      <c r="D30" s="11" t="s">
        <v>833</v>
      </c>
      <c r="I30" s="5">
        <v>29</v>
      </c>
      <c r="J30" s="196" t="s">
        <v>188</v>
      </c>
      <c r="K30" s="75" t="s">
        <v>256</v>
      </c>
      <c r="L30" s="76" t="s">
        <v>73</v>
      </c>
      <c r="M30" s="76" t="s">
        <v>762</v>
      </c>
    </row>
    <row r="31" spans="1:13" ht="15">
      <c r="C31" s="2" t="s">
        <v>834</v>
      </c>
      <c r="D31" s="11" t="s">
        <v>78</v>
      </c>
      <c r="I31" s="5">
        <v>30</v>
      </c>
      <c r="J31" s="196" t="s">
        <v>161</v>
      </c>
      <c r="K31" s="75" t="s">
        <v>164</v>
      </c>
      <c r="L31" s="76" t="s">
        <v>132</v>
      </c>
      <c r="M31" s="76" t="s">
        <v>765</v>
      </c>
    </row>
    <row r="32" spans="1:13" ht="15">
      <c r="C32" s="2" t="s">
        <v>835</v>
      </c>
      <c r="D32" s="11" t="s">
        <v>836</v>
      </c>
      <c r="I32" s="5">
        <v>31</v>
      </c>
      <c r="J32" s="75" t="s">
        <v>837</v>
      </c>
      <c r="K32" s="75" t="s">
        <v>223</v>
      </c>
      <c r="L32" s="76" t="s">
        <v>156</v>
      </c>
      <c r="M32" s="76" t="s">
        <v>766</v>
      </c>
    </row>
    <row r="33" spans="3:13" ht="15">
      <c r="C33" t="s">
        <v>678</v>
      </c>
      <c r="D33" s="11"/>
      <c r="J33" s="75" t="s">
        <v>838</v>
      </c>
      <c r="K33" s="75" t="s">
        <v>207</v>
      </c>
      <c r="L33" s="76" t="s">
        <v>205</v>
      </c>
      <c r="M33" s="76" t="s">
        <v>769</v>
      </c>
    </row>
    <row r="34" spans="3:13" ht="15">
      <c r="C34" t="s">
        <v>588</v>
      </c>
      <c r="D34" s="11"/>
      <c r="J34" s="75" t="s">
        <v>839</v>
      </c>
      <c r="K34" s="75" t="s">
        <v>840</v>
      </c>
      <c r="L34" s="76" t="s">
        <v>132</v>
      </c>
      <c r="M34" s="76" t="s">
        <v>841</v>
      </c>
    </row>
    <row r="35" spans="3:13" ht="15">
      <c r="C35" s="2" t="s">
        <v>583</v>
      </c>
      <c r="D35" s="11"/>
      <c r="J35" s="75" t="s">
        <v>842</v>
      </c>
      <c r="K35" s="75" t="s">
        <v>843</v>
      </c>
      <c r="L35" s="76" t="s">
        <v>205</v>
      </c>
      <c r="M35" s="76" t="s">
        <v>844</v>
      </c>
    </row>
    <row r="36" spans="3:13" ht="15">
      <c r="C36" s="2" t="s">
        <v>217</v>
      </c>
      <c r="D36" s="11"/>
      <c r="J36" s="75" t="s">
        <v>845</v>
      </c>
      <c r="K36" s="75" t="s">
        <v>846</v>
      </c>
      <c r="L36" s="76" t="s">
        <v>615</v>
      </c>
      <c r="M36" s="76" t="s">
        <v>790</v>
      </c>
    </row>
    <row r="37" spans="3:13" ht="15">
      <c r="C37" s="2" t="s">
        <v>680</v>
      </c>
      <c r="D37" s="11"/>
      <c r="J37" s="75" t="s">
        <v>404</v>
      </c>
      <c r="K37" s="75" t="s">
        <v>472</v>
      </c>
      <c r="L37" s="76" t="s">
        <v>145</v>
      </c>
      <c r="M37" s="76" t="s">
        <v>847</v>
      </c>
    </row>
    <row r="38" spans="3:13">
      <c r="J38" s="75" t="s">
        <v>734</v>
      </c>
      <c r="K38" s="75" t="s">
        <v>848</v>
      </c>
      <c r="L38" s="76" t="s">
        <v>205</v>
      </c>
      <c r="M38" s="76" t="s">
        <v>769</v>
      </c>
    </row>
    <row r="39" spans="3:13">
      <c r="J39" s="75" t="s">
        <v>849</v>
      </c>
      <c r="K39" s="75" t="s">
        <v>850</v>
      </c>
      <c r="L39" s="76" t="s">
        <v>195</v>
      </c>
      <c r="M39" s="76" t="s">
        <v>196</v>
      </c>
    </row>
    <row r="40" spans="3:13">
      <c r="J40" s="75" t="s">
        <v>299</v>
      </c>
      <c r="K40" s="75" t="s">
        <v>851</v>
      </c>
      <c r="L40" s="76" t="s">
        <v>205</v>
      </c>
      <c r="M40" s="76" t="s">
        <v>769</v>
      </c>
    </row>
    <row r="41" spans="3:13">
      <c r="J41" s="75" t="s">
        <v>852</v>
      </c>
      <c r="K41" s="75" t="s">
        <v>853</v>
      </c>
      <c r="L41" s="76" t="s">
        <v>195</v>
      </c>
      <c r="M41" s="76" t="s">
        <v>196</v>
      </c>
    </row>
    <row r="42" spans="3:13">
      <c r="J42" s="75" t="s">
        <v>854</v>
      </c>
      <c r="K42" s="75" t="s">
        <v>855</v>
      </c>
      <c r="L42" s="76" t="s">
        <v>73</v>
      </c>
      <c r="M42" s="76" t="s">
        <v>762</v>
      </c>
    </row>
    <row r="43" spans="3:13">
      <c r="J43" s="75" t="s">
        <v>856</v>
      </c>
      <c r="K43" s="75" t="s">
        <v>857</v>
      </c>
      <c r="L43" s="76" t="s">
        <v>132</v>
      </c>
      <c r="M43" s="76" t="s">
        <v>763</v>
      </c>
    </row>
    <row r="44" spans="3:13">
      <c r="J44" s="75" t="s">
        <v>858</v>
      </c>
      <c r="K44" s="75" t="s">
        <v>859</v>
      </c>
      <c r="L44" s="76" t="s">
        <v>610</v>
      </c>
      <c r="M44" s="76" t="s">
        <v>764</v>
      </c>
    </row>
    <row r="45" spans="3:13">
      <c r="J45" s="75" t="s">
        <v>731</v>
      </c>
      <c r="K45" s="75" t="s">
        <v>192</v>
      </c>
      <c r="L45" s="76" t="s">
        <v>55</v>
      </c>
      <c r="M45" s="76" t="s">
        <v>191</v>
      </c>
    </row>
    <row r="46" spans="3:13">
      <c r="J46" s="196" t="s">
        <v>860</v>
      </c>
      <c r="K46" s="75" t="s">
        <v>861</v>
      </c>
      <c r="L46" s="76" t="s">
        <v>132</v>
      </c>
      <c r="M46" s="76" t="s">
        <v>534</v>
      </c>
    </row>
    <row r="47" spans="3:13">
      <c r="J47" s="196" t="s">
        <v>354</v>
      </c>
      <c r="K47" s="75" t="s">
        <v>617</v>
      </c>
      <c r="L47" s="76" t="s">
        <v>615</v>
      </c>
      <c r="M47" s="76" t="s">
        <v>862</v>
      </c>
    </row>
    <row r="48" spans="3:13">
      <c r="J48" s="196" t="s">
        <v>863</v>
      </c>
      <c r="K48" s="75" t="s">
        <v>864</v>
      </c>
      <c r="L48" s="76" t="s">
        <v>195</v>
      </c>
      <c r="M48" s="76" t="s">
        <v>196</v>
      </c>
    </row>
    <row r="49" spans="10:13">
      <c r="J49" s="75" t="s">
        <v>736</v>
      </c>
      <c r="K49" s="75" t="s">
        <v>865</v>
      </c>
      <c r="L49" s="76" t="s">
        <v>615</v>
      </c>
      <c r="M49" s="76" t="s">
        <v>771</v>
      </c>
    </row>
    <row r="50" spans="10:13">
      <c r="J50" s="75" t="s">
        <v>866</v>
      </c>
      <c r="K50" s="75" t="s">
        <v>867</v>
      </c>
      <c r="L50" s="76" t="s">
        <v>33</v>
      </c>
      <c r="M50" s="76" t="s">
        <v>174</v>
      </c>
    </row>
    <row r="51" spans="10:13">
      <c r="J51" s="75" t="s">
        <v>868</v>
      </c>
      <c r="K51" s="75" t="s">
        <v>869</v>
      </c>
      <c r="L51" s="76" t="s">
        <v>33</v>
      </c>
      <c r="M51" s="76" t="s">
        <v>34</v>
      </c>
    </row>
    <row r="52" spans="10:13">
      <c r="J52" s="75" t="s">
        <v>870</v>
      </c>
      <c r="K52" s="75" t="s">
        <v>871</v>
      </c>
      <c r="L52" s="76" t="s">
        <v>73</v>
      </c>
      <c r="M52" s="76" t="s">
        <v>762</v>
      </c>
    </row>
    <row r="53" spans="10:13">
      <c r="J53" s="75" t="s">
        <v>872</v>
      </c>
      <c r="K53" s="75" t="s">
        <v>873</v>
      </c>
      <c r="L53" s="76" t="s">
        <v>33</v>
      </c>
      <c r="M53" s="76" t="s">
        <v>34</v>
      </c>
    </row>
    <row r="54" spans="10:13">
      <c r="J54" s="75" t="s">
        <v>874</v>
      </c>
      <c r="K54" s="75" t="s">
        <v>875</v>
      </c>
      <c r="L54" s="76" t="s">
        <v>145</v>
      </c>
      <c r="M54" s="76" t="s">
        <v>847</v>
      </c>
    </row>
    <row r="55" spans="10:13">
      <c r="J55" s="75" t="s">
        <v>876</v>
      </c>
      <c r="K55" s="75" t="s">
        <v>877</v>
      </c>
      <c r="L55" s="76" t="s">
        <v>33</v>
      </c>
      <c r="M55" s="76" t="s">
        <v>878</v>
      </c>
    </row>
    <row r="56" spans="10:13">
      <c r="J56" s="75" t="s">
        <v>879</v>
      </c>
      <c r="K56" s="75" t="s">
        <v>880</v>
      </c>
      <c r="L56" s="76" t="s">
        <v>33</v>
      </c>
      <c r="M56" s="76" t="s">
        <v>108</v>
      </c>
    </row>
    <row r="57" spans="10:13">
      <c r="J57" s="75" t="s">
        <v>881</v>
      </c>
      <c r="K57" s="75" t="s">
        <v>882</v>
      </c>
      <c r="L57" s="76" t="s">
        <v>33</v>
      </c>
      <c r="M57" s="76" t="s">
        <v>108</v>
      </c>
    </row>
    <row r="58" spans="10:13">
      <c r="J58" s="75" t="s">
        <v>883</v>
      </c>
      <c r="K58" s="75" t="s">
        <v>884</v>
      </c>
      <c r="L58" s="76" t="s">
        <v>55</v>
      </c>
      <c r="M58" s="76" t="s">
        <v>597</v>
      </c>
    </row>
    <row r="59" spans="10:13">
      <c r="J59" s="75" t="s">
        <v>885</v>
      </c>
      <c r="K59" s="75" t="s">
        <v>886</v>
      </c>
      <c r="L59" s="76" t="s">
        <v>33</v>
      </c>
      <c r="M59" s="76" t="s">
        <v>174</v>
      </c>
    </row>
    <row r="60" spans="10:13">
      <c r="J60" s="75" t="s">
        <v>887</v>
      </c>
      <c r="K60" s="75" t="s">
        <v>888</v>
      </c>
      <c r="L60" s="76" t="s">
        <v>132</v>
      </c>
      <c r="M60" s="76" t="s">
        <v>805</v>
      </c>
    </row>
    <row r="61" spans="10:13">
      <c r="J61" s="75" t="s">
        <v>889</v>
      </c>
      <c r="K61" s="75" t="s">
        <v>211</v>
      </c>
      <c r="L61" s="76" t="s">
        <v>73</v>
      </c>
      <c r="M61" s="76" t="s">
        <v>890</v>
      </c>
    </row>
    <row r="62" spans="10:13">
      <c r="J62" s="75" t="s">
        <v>891</v>
      </c>
      <c r="K62" s="75" t="s">
        <v>892</v>
      </c>
      <c r="L62" s="76" t="s">
        <v>195</v>
      </c>
      <c r="M62" s="76" t="s">
        <v>196</v>
      </c>
    </row>
    <row r="63" spans="10:13">
      <c r="J63" s="75" t="s">
        <v>893</v>
      </c>
      <c r="K63" s="75" t="s">
        <v>894</v>
      </c>
      <c r="L63" s="76" t="s">
        <v>33</v>
      </c>
      <c r="M63" s="76" t="s">
        <v>174</v>
      </c>
    </row>
    <row r="64" spans="10:13">
      <c r="J64" s="75" t="s">
        <v>895</v>
      </c>
      <c r="K64" s="75" t="s">
        <v>896</v>
      </c>
      <c r="L64" s="76" t="s">
        <v>145</v>
      </c>
      <c r="M64" s="76" t="s">
        <v>770</v>
      </c>
    </row>
    <row r="65" spans="10:13">
      <c r="J65" s="75" t="s">
        <v>735</v>
      </c>
      <c r="K65" s="75" t="s">
        <v>897</v>
      </c>
      <c r="L65" s="76" t="s">
        <v>55</v>
      </c>
      <c r="M65" s="76" t="s">
        <v>191</v>
      </c>
    </row>
    <row r="66" spans="10:13">
      <c r="J66" s="75" t="s">
        <v>898</v>
      </c>
      <c r="K66" s="75" t="s">
        <v>899</v>
      </c>
      <c r="L66" s="76" t="s">
        <v>145</v>
      </c>
      <c r="M66" s="76" t="s">
        <v>847</v>
      </c>
    </row>
    <row r="67" spans="10:13">
      <c r="J67" s="75" t="s">
        <v>900</v>
      </c>
      <c r="K67" s="75" t="s">
        <v>901</v>
      </c>
      <c r="L67" s="76" t="s">
        <v>73</v>
      </c>
      <c r="M67" s="76" t="s">
        <v>902</v>
      </c>
    </row>
    <row r="68" spans="10:13">
      <c r="J68" s="75" t="s">
        <v>903</v>
      </c>
      <c r="K68" s="75" t="s">
        <v>904</v>
      </c>
      <c r="L68" s="76" t="s">
        <v>610</v>
      </c>
      <c r="M68" s="76" t="s">
        <v>905</v>
      </c>
    </row>
    <row r="69" spans="10:13">
      <c r="J69" s="75" t="s">
        <v>906</v>
      </c>
      <c r="K69" s="75" t="s">
        <v>907</v>
      </c>
      <c r="L69" s="76" t="s">
        <v>33</v>
      </c>
      <c r="M69" s="76" t="s">
        <v>34</v>
      </c>
    </row>
    <row r="70" spans="10:13">
      <c r="J70" s="75" t="s">
        <v>908</v>
      </c>
      <c r="K70" s="75" t="s">
        <v>909</v>
      </c>
      <c r="L70" s="76" t="s">
        <v>33</v>
      </c>
      <c r="M70" s="76" t="s">
        <v>108</v>
      </c>
    </row>
    <row r="71" spans="10:13">
      <c r="J71" s="75" t="s">
        <v>910</v>
      </c>
      <c r="K71" s="75" t="s">
        <v>911</v>
      </c>
      <c r="L71" s="76" t="s">
        <v>33</v>
      </c>
      <c r="M71" s="76" t="s">
        <v>34</v>
      </c>
    </row>
    <row r="72" spans="10:13">
      <c r="J72" s="75" t="s">
        <v>912</v>
      </c>
      <c r="K72" s="75" t="s">
        <v>913</v>
      </c>
      <c r="L72" s="76" t="s">
        <v>33</v>
      </c>
      <c r="M72" s="76" t="s">
        <v>34</v>
      </c>
    </row>
    <row r="73" spans="10:13">
      <c r="J73" s="75" t="s">
        <v>914</v>
      </c>
      <c r="K73" s="75" t="s">
        <v>915</v>
      </c>
      <c r="L73" s="76" t="s">
        <v>156</v>
      </c>
      <c r="M73" s="76" t="s">
        <v>656</v>
      </c>
    </row>
    <row r="74" spans="10:13">
      <c r="J74" s="75" t="s">
        <v>916</v>
      </c>
      <c r="K74" s="75" t="s">
        <v>917</v>
      </c>
      <c r="L74" s="76" t="s">
        <v>73</v>
      </c>
      <c r="M74" s="76" t="s">
        <v>762</v>
      </c>
    </row>
    <row r="75" spans="10:13">
      <c r="J75" s="75" t="s">
        <v>918</v>
      </c>
      <c r="K75" s="75" t="s">
        <v>919</v>
      </c>
      <c r="L75" s="76" t="s">
        <v>132</v>
      </c>
      <c r="M75" s="76" t="s">
        <v>534</v>
      </c>
    </row>
    <row r="76" spans="10:13">
      <c r="J76" s="75" t="s">
        <v>733</v>
      </c>
      <c r="K76" s="75" t="s">
        <v>920</v>
      </c>
      <c r="L76" s="76" t="s">
        <v>615</v>
      </c>
      <c r="M76" s="76" t="s">
        <v>790</v>
      </c>
    </row>
    <row r="77" spans="10:13">
      <c r="J77" s="75" t="s">
        <v>921</v>
      </c>
      <c r="K77" s="19" t="s">
        <v>922</v>
      </c>
      <c r="L77" s="76" t="s">
        <v>132</v>
      </c>
      <c r="M77" s="76" t="s">
        <v>534</v>
      </c>
    </row>
    <row r="78" spans="10:13">
      <c r="J78" s="19" t="s">
        <v>923</v>
      </c>
      <c r="K78" s="19" t="s">
        <v>924</v>
      </c>
      <c r="L78" s="76" t="s">
        <v>132</v>
      </c>
      <c r="M78" s="76" t="s">
        <v>534</v>
      </c>
    </row>
    <row r="79" spans="10:13">
      <c r="J79" s="19" t="s">
        <v>130</v>
      </c>
      <c r="K79" s="19" t="s">
        <v>134</v>
      </c>
      <c r="L79" s="76" t="s">
        <v>132</v>
      </c>
      <c r="M79" s="76" t="s">
        <v>534</v>
      </c>
    </row>
    <row r="80" spans="10:13">
      <c r="J80" s="19" t="s">
        <v>357</v>
      </c>
      <c r="K80" s="19" t="s">
        <v>35</v>
      </c>
      <c r="L80" s="76" t="s">
        <v>33</v>
      </c>
      <c r="M80" s="76" t="s">
        <v>34</v>
      </c>
    </row>
    <row r="81" spans="10:13" ht="28.9">
      <c r="J81" s="19" t="s">
        <v>340</v>
      </c>
      <c r="K81" s="122" t="s">
        <v>42</v>
      </c>
      <c r="L81" s="76" t="s">
        <v>33</v>
      </c>
      <c r="M81" s="76" t="s">
        <v>34</v>
      </c>
    </row>
    <row r="82" spans="10:13">
      <c r="J82" s="75" t="s">
        <v>338</v>
      </c>
      <c r="K82" s="19" t="s">
        <v>925</v>
      </c>
      <c r="L82" s="76" t="s">
        <v>33</v>
      </c>
      <c r="M82" s="76" t="s">
        <v>34</v>
      </c>
    </row>
    <row r="83" spans="10:13">
      <c r="J83" s="19" t="s">
        <v>96</v>
      </c>
      <c r="K83" s="8" t="s">
        <v>211</v>
      </c>
      <c r="L83" s="197" t="s">
        <v>73</v>
      </c>
      <c r="M83" s="76" t="s">
        <v>210</v>
      </c>
    </row>
    <row r="84" spans="10:13">
      <c r="J84" s="19" t="s">
        <v>926</v>
      </c>
      <c r="K84" s="5" t="s">
        <v>927</v>
      </c>
      <c r="L84" s="76" t="s">
        <v>73</v>
      </c>
      <c r="M84" s="76" t="s">
        <v>762</v>
      </c>
    </row>
    <row r="85" spans="10:13">
      <c r="J85" s="19" t="s">
        <v>91</v>
      </c>
    </row>
    <row r="86" spans="10:13">
      <c r="J86" s="19" t="s">
        <v>314</v>
      </c>
    </row>
    <row r="87" spans="10:13">
      <c r="J87" s="19" t="s">
        <v>928</v>
      </c>
    </row>
    <row r="88" spans="10:13">
      <c r="J88" s="19" t="s">
        <v>929</v>
      </c>
      <c r="K88" t="s">
        <v>930</v>
      </c>
      <c r="L88" t="s">
        <v>73</v>
      </c>
      <c r="M88" t="s">
        <v>762</v>
      </c>
    </row>
    <row r="89" spans="10:13">
      <c r="J89" s="19" t="s">
        <v>931</v>
      </c>
      <c r="K89" t="s">
        <v>438</v>
      </c>
      <c r="L89" t="s">
        <v>64</v>
      </c>
      <c r="M89" t="s">
        <v>932</v>
      </c>
    </row>
  </sheetData>
  <autoFilter ref="L1:M81" xr:uid="{00000000-0009-0000-0000-000003000000}"/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>
      <selection activeCell="F25" sqref="F25"/>
    </sheetView>
  </sheetViews>
  <sheetFormatPr defaultColWidth="11.42578125" defaultRowHeight="14.45"/>
  <cols>
    <col min="1" max="1" width="18.85546875" customWidth="1"/>
  </cols>
  <sheetData>
    <row r="1" spans="1:2">
      <c r="A1" s="72" t="s">
        <v>20</v>
      </c>
      <c r="B1" s="5" t="s">
        <v>933</v>
      </c>
    </row>
    <row r="2" spans="1:2">
      <c r="A2" s="76" t="s">
        <v>64</v>
      </c>
      <c r="B2" s="5">
        <v>1</v>
      </c>
    </row>
    <row r="3" spans="1:2">
      <c r="A3" s="76" t="s">
        <v>55</v>
      </c>
      <c r="B3" s="5">
        <v>2</v>
      </c>
    </row>
    <row r="4" spans="1:2">
      <c r="A4" s="76" t="s">
        <v>145</v>
      </c>
      <c r="B4" s="5">
        <v>3</v>
      </c>
    </row>
    <row r="5" spans="1:2">
      <c r="A5" s="76" t="s">
        <v>615</v>
      </c>
      <c r="B5" s="5">
        <v>4</v>
      </c>
    </row>
    <row r="6" spans="1:2">
      <c r="A6" s="76" t="s">
        <v>610</v>
      </c>
      <c r="B6" s="5">
        <v>5</v>
      </c>
    </row>
    <row r="7" spans="1:2">
      <c r="A7" s="76" t="s">
        <v>156</v>
      </c>
      <c r="B7" s="5">
        <v>6</v>
      </c>
    </row>
    <row r="8" spans="1:2">
      <c r="A8" s="76" t="s">
        <v>132</v>
      </c>
      <c r="B8" s="5">
        <v>7</v>
      </c>
    </row>
    <row r="9" spans="1:2">
      <c r="A9" s="76" t="s">
        <v>73</v>
      </c>
      <c r="B9" s="5">
        <v>8</v>
      </c>
    </row>
    <row r="10" spans="1:2">
      <c r="A10" s="76" t="s">
        <v>33</v>
      </c>
      <c r="B10" s="5">
        <v>9</v>
      </c>
    </row>
    <row r="11" spans="1:2">
      <c r="A11" s="76" t="s">
        <v>205</v>
      </c>
      <c r="B11" s="5">
        <v>10</v>
      </c>
    </row>
    <row r="12" spans="1:2">
      <c r="A12" s="76" t="s">
        <v>807</v>
      </c>
      <c r="B12" s="5">
        <v>11</v>
      </c>
    </row>
    <row r="13" spans="1:2">
      <c r="A13" s="76" t="s">
        <v>195</v>
      </c>
      <c r="B13" s="5">
        <v>12</v>
      </c>
    </row>
    <row r="14" spans="1:2">
      <c r="A14" s="76" t="s">
        <v>140</v>
      </c>
      <c r="B14" s="5">
        <v>13</v>
      </c>
    </row>
  </sheetData>
  <autoFilter ref="A1:A10" xr:uid="{00000000-0009-0000-0000-000004000000}">
    <sortState xmlns:xlrd2="http://schemas.microsoft.com/office/spreadsheetml/2017/richdata2" ref="A2:A12">
      <sortCondition ref="A1:A12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898828E11982E4EBD6CB4F5C31270CB" ma:contentTypeVersion="9" ma:contentTypeDescription="Crear nuevo documento." ma:contentTypeScope="" ma:versionID="4821eaf94265c074c1e1043d8a663523">
  <xsd:schema xmlns:xsd="http://www.w3.org/2001/XMLSchema" xmlns:xs="http://www.w3.org/2001/XMLSchema" xmlns:p="http://schemas.microsoft.com/office/2006/metadata/properties" xmlns:ns2="59c87f2d-0b92-47fc-b515-f1b1037d12f5" targetNamespace="http://schemas.microsoft.com/office/2006/metadata/properties" ma:root="true" ma:fieldsID="17ae0c7262a3f251c2942ba33d5606a0" ns2:_="">
    <xsd:import namespace="59c87f2d-0b92-47fc-b515-f1b1037d12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c87f2d-0b92-47fc-b515-f1b1037d12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5A7D80-D899-485B-8225-EFCC8B68BCBE}"/>
</file>

<file path=customXml/itemProps2.xml><?xml version="1.0" encoding="utf-8"?>
<ds:datastoreItem xmlns:ds="http://schemas.openxmlformats.org/officeDocument/2006/customXml" ds:itemID="{4547E68E-79D5-4B11-A463-64658A059AAF}"/>
</file>

<file path=customXml/itemProps3.xml><?xml version="1.0" encoding="utf-8"?>
<ds:datastoreItem xmlns:ds="http://schemas.openxmlformats.org/officeDocument/2006/customXml" ds:itemID="{9A9C5C99-7663-498E-84E9-C5889C6804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/>
  <cp:revision/>
  <dcterms:created xsi:type="dcterms:W3CDTF">2022-02-03T21:29:47Z</dcterms:created>
  <dcterms:modified xsi:type="dcterms:W3CDTF">2025-11-21T11:38:04Z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0x0101003898828E11982E4EBD6CB4F5C31270CB</vt:lpwstr>
  </property>
</Properties>
</file>